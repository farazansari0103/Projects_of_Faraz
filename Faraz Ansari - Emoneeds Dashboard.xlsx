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rah\OneDrive\Desktop\Excel Files of Faraz\"/>
    </mc:Choice>
  </mc:AlternateContent>
  <xr:revisionPtr revIDLastSave="0" documentId="13_ncr:1_{09E94E72-2273-4CE2-B2D9-21D5C4675C0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1" sheetId="7" r:id="rId1"/>
    <sheet name="DB1" sheetId="9" r:id="rId2"/>
    <sheet name="Data 2" sheetId="3" r:id="rId3"/>
    <sheet name="DB2" sheetId="10" r:id="rId4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9" l="1"/>
  <c r="AM40" i="10"/>
  <c r="Z39" i="10"/>
  <c r="AA19" i="10"/>
  <c r="S9" i="9"/>
  <c r="X13" i="9"/>
</calcChain>
</file>

<file path=xl/sharedStrings.xml><?xml version="1.0" encoding="utf-8"?>
<sst xmlns="http://schemas.openxmlformats.org/spreadsheetml/2006/main" count="729" uniqueCount="60">
  <si>
    <t>-</t>
  </si>
  <si>
    <t>Active</t>
  </si>
  <si>
    <t>September</t>
  </si>
  <si>
    <t>July</t>
  </si>
  <si>
    <t>Months</t>
  </si>
  <si>
    <t>Gurgaon </t>
  </si>
  <si>
    <t>GK 1</t>
  </si>
  <si>
    <t>Renewal</t>
  </si>
  <si>
    <t>Old Revival</t>
  </si>
  <si>
    <t>New Plans </t>
  </si>
  <si>
    <t>Inactive 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</si>
  <si>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</si>
  <si>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</si>
  <si>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</si>
  <si>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</si>
  <si>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</si>
  <si>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</si>
  <si>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</si>
  <si>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</si>
  <si>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</si>
  <si>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Aug</t>
  </si>
  <si>
    <t>Sep</t>
  </si>
  <si>
    <t>Trend of Active Cases month wise- Regular Cases</t>
  </si>
  <si>
    <t>Row Labels</t>
  </si>
  <si>
    <t>Grand Total</t>
  </si>
  <si>
    <t>(Multiple Items)</t>
  </si>
  <si>
    <t>Longevity Analysis </t>
  </si>
  <si>
    <t>SEP</t>
  </si>
  <si>
    <t>AUG</t>
  </si>
  <si>
    <t>JULY</t>
  </si>
  <si>
    <t>Gurgaon</t>
  </si>
  <si>
    <t>1 month</t>
  </si>
  <si>
    <t>1-3 months </t>
  </si>
  <si>
    <t>3-6 months </t>
  </si>
  <si>
    <t>6-9 months </t>
  </si>
  <si>
    <t>9-12 months </t>
  </si>
  <si>
    <t>More than a year</t>
  </si>
  <si>
    <t>Total </t>
  </si>
  <si>
    <t>Patient Status- Active</t>
  </si>
  <si>
    <t>1-3 months</t>
  </si>
  <si>
    <t>3-6 months</t>
  </si>
  <si>
    <t>6-9 months</t>
  </si>
  <si>
    <t>9-12 months</t>
  </si>
  <si>
    <t>SEP Gurgaon</t>
  </si>
  <si>
    <t>SEP GK 1</t>
  </si>
  <si>
    <t>AUG Gurgaon</t>
  </si>
  <si>
    <t>AUG GK 1</t>
  </si>
  <si>
    <t>JULY Gurgaon</t>
  </si>
  <si>
    <t>Month</t>
  </si>
  <si>
    <t>Location</t>
  </si>
  <si>
    <t>Longevity Analysis</t>
  </si>
  <si>
    <t>Patient Count</t>
  </si>
  <si>
    <t>Sum of Patient Count</t>
  </si>
  <si>
    <t>Patient Status</t>
  </si>
  <si>
    <t>Count</t>
  </si>
  <si>
    <t>New Plans</t>
  </si>
  <si>
    <t>Inactive</t>
  </si>
  <si>
    <t>Rearranged Data</t>
  </si>
  <si>
    <t>Sum of Count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</si>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</sst>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26"/>
      <color rgb="FF000000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rgb="FF002060"/>
      <name val="Calibri"/>
      <family val="2"/>
      <scheme val="minor"/>
    </font>
    <font>
      <b/>
      <sz val="11"/>
      <color rgb="FF1B1C1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2" xfId="0" applyFont="1" applyBorder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 indent="1" readingOrder="1"/>
    </xf>
    <xf numFmtId="10" fontId="0" fillId="0" borderId="0" xfId="1" applyNumberFormat="1" applyFont="1"/>
    <xf numFmtId="0" fontId="7" fillId="0" borderId="1" xfId="0" applyFont="1" applyBorder="1" applyAlignment="1">
      <alignment horizontal="left" vertical="center" indent="1" readingOrder="1"/>
    </xf>
    <xf numFmtId="9" fontId="0" fillId="0" borderId="0" xfId="1" applyFont="1"/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[Faraz Ansari - Emoneeds Dashboard.xlsx]DB1!PivotTable8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</a:t>
            </a:r>
            <a:r>
              <a:rPr lang="en-US" baseline="0"/>
              <a:t> count and Longevity</a:t>
            </a:r>
            <a:endParaRPr lang="en-US"/>
          </a:p>
        </c:rich>
      </c:tx>
      <c:layout>
        <c:manualLayout>
          <c:xMode val="edge"/>
          <c:yMode val="edge"/>
          <c:x val="0.23332633420822396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8333333333333334E-2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9444444444444337E-2"/>
              <c:y val="3.2407407407407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6111111111111138E-2"/>
              <c:y val="4.62962962962961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0555555555555561E-2"/>
              <c:y val="3.24074074074073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558E-2"/>
              <c:y val="-5.55555555555556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6666666666666693E-2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'DB1'!$B$1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A61-464F-A6EC-977545AB89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A61-464F-A6EC-977545AB89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A61-464F-A6EC-977545AB89F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A61-464F-A6EC-977545AB89F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A61-464F-A6EC-977545AB89F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A61-464F-A6EC-977545AB89F2}"/>
              </c:ext>
            </c:extLst>
          </c:dPt>
          <c:dLbls>
            <c:dLbl>
              <c:idx val="0"/>
              <c:layout>
                <c:manualLayout>
                  <c:x val="5.8333333333333334E-2"/>
                  <c:y val="-8.796296296296296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61-464F-A6EC-977545AB89F2}"/>
                </c:ext>
              </c:extLst>
            </c:dLbl>
            <c:dLbl>
              <c:idx val="1"/>
              <c:layout>
                <c:manualLayout>
                  <c:x val="6.9444444444444337E-2"/>
                  <c:y val="3.24074074074074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61-464F-A6EC-977545AB89F2}"/>
                </c:ext>
              </c:extLst>
            </c:dLbl>
            <c:dLbl>
              <c:idx val="2"/>
              <c:layout>
                <c:manualLayout>
                  <c:x val="-8.6111111111111138E-2"/>
                  <c:y val="4.629629629629612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A61-464F-A6EC-977545AB89F2}"/>
                </c:ext>
              </c:extLst>
            </c:dLbl>
            <c:dLbl>
              <c:idx val="3"/>
              <c:layout>
                <c:manualLayout>
                  <c:x val="-8.0555555555555561E-2"/>
                  <c:y val="3.240740740740732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A61-464F-A6EC-977545AB89F2}"/>
                </c:ext>
              </c:extLst>
            </c:dLbl>
            <c:dLbl>
              <c:idx val="4"/>
              <c:layout>
                <c:manualLayout>
                  <c:x val="-5.555555555555558E-2"/>
                  <c:y val="-5.555555555555564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A61-464F-A6EC-977545AB89F2}"/>
                </c:ext>
              </c:extLst>
            </c:dLbl>
            <c:dLbl>
              <c:idx val="5"/>
              <c:layout>
                <c:manualLayout>
                  <c:x val="-6.6666666666666693E-2"/>
                  <c:y val="-8.796296296296296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A61-464F-A6EC-977545AB89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'DB1'!$A$2:$A$8</c:f>
              <c:strCache>
                <c:ptCount val="6"/>
                <c:pt idx="0">
                  <c:v>1 month</c:v>
                </c:pt>
                <c:pt idx="1">
                  <c:v>1-3 months</c:v>
                </c:pt>
                <c:pt idx="2">
                  <c:v>3-6 months</c:v>
                </c:pt>
                <c:pt idx="3">
                  <c:v>6-9 months</c:v>
                </c:pt>
                <c:pt idx="4">
                  <c:v>9-12 months</c:v>
                </c:pt>
                <c:pt idx="5">
                  <c:v>More than a year</c:v>
                </c:pt>
              </c:strCache>
            </c:strRef>
          </c:cat>
          <c:val>
            <c:numRef>
              <c:f>'DB1'!$B$2:$B$8</c:f>
              <c:numCache>
                <c:formatCode>General</c:formatCode>
                <c:ptCount val="6"/>
                <c:pt idx="0">
                  <c:v>171</c:v>
                </c:pt>
                <c:pt idx="1">
                  <c:v>171</c:v>
                </c:pt>
                <c:pt idx="2">
                  <c:v>133</c:v>
                </c:pt>
                <c:pt idx="3">
                  <c:v>94</c:v>
                </c:pt>
                <c:pt idx="4">
                  <c:v>41</c:v>
                </c:pt>
                <c:pt idx="5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1-464F-A6EC-977545AB8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[Faraz Ansari - Emoneeds Dashboard.xlsx]DB1!PivotTable10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 count and Months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'DB1'!$F$2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'DB1'!$E$3:$E$6</c:f>
              <c:strCache>
                <c:ptCount val="3"/>
                <c:pt idx="0">
                  <c:v>JULY</c:v>
                </c:pt>
                <c:pt idx="1">
                  <c:v>AUG</c:v>
                </c:pt>
                <c:pt idx="2">
                  <c:v>SEP</c:v>
                </c:pt>
              </c:strCache>
            </c:strRef>
          </c:cat>
          <c:val>
            <c:numRef>
              <c:f>'DB1'!$F$3:$F$6</c:f>
              <c:numCache>
                <c:formatCode>General</c:formatCode>
                <c:ptCount val="3"/>
                <c:pt idx="0">
                  <c:v>237</c:v>
                </c:pt>
                <c:pt idx="1">
                  <c:v>234</c:v>
                </c:pt>
                <c:pt idx="2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6-4452-93B0-92F497978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53318895"/>
        <c:axId val="653319375"/>
      </c:barChart>
      <c:catAx>
        <c:axId val="653318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319375"/>
        <c:crosses val="autoZero"/>
        <c:auto val="1"/>
        <c:lblAlgn val="ctr"/>
        <c:lblOffset val="100"/>
        <c:noMultiLvlLbl val="0"/>
      </c:catAx>
      <c:valAx>
        <c:axId val="653319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318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[Faraz Ansari - Emoneeds Dashboard.xlsx]DB1!PivotTable11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Active Patients</a:t>
            </a:r>
            <a:r>
              <a:rPr lang="en-US" baseline="0"/>
              <a:t> over 6 months</a:t>
            </a:r>
          </a:p>
          <a:p>
            <a:pPr>
              <a:defRPr/>
            </a:pPr>
            <a:r>
              <a:rPr lang="en-US" baseline="0"/>
              <a:t>(Gurgaon + GK1)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'DB1'!$J$3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'DB1'!$I$4:$I$7</c:f>
              <c:strCache>
                <c:ptCount val="3"/>
                <c:pt idx="0">
                  <c:v>JULY</c:v>
                </c:pt>
                <c:pt idx="1">
                  <c:v>AUG</c:v>
                </c:pt>
                <c:pt idx="2">
                  <c:v>SEP</c:v>
                </c:pt>
              </c:strCache>
            </c:strRef>
          </c:cat>
          <c:val>
            <c:numRef>
              <c:f>'DB1'!$J$4:$J$7</c:f>
              <c:numCache>
                <c:formatCode>General</c:formatCode>
                <c:ptCount val="3"/>
                <c:pt idx="0">
                  <c:v>80</c:v>
                </c:pt>
                <c:pt idx="1">
                  <c:v>75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0-4184-9250-02225E766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0000399"/>
        <c:axId val="617629247"/>
      </c:barChart>
      <c:catAx>
        <c:axId val="92000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629247"/>
        <c:crosses val="autoZero"/>
        <c:auto val="1"/>
        <c:lblAlgn val="ctr"/>
        <c:lblOffset val="100"/>
        <c:noMultiLvlLbl val="0"/>
      </c:catAx>
      <c:valAx>
        <c:axId val="61762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00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[Faraz Ansari - Emoneeds Dashboard.xlsx]DB2!PivotTable1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Patient Volume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'DB2'!$D$4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'DB2'!$C$5:$C$18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Aug</c:v>
                </c:pt>
                <c:pt idx="7">
                  <c:v>Sep</c:v>
                </c:pt>
                <c:pt idx="8">
                  <c:v>July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'DB2'!$D$5:$D$18</c:f>
              <c:numCache>
                <c:formatCode>General</c:formatCode>
                <c:ptCount val="13"/>
                <c:pt idx="0">
                  <c:v>629</c:v>
                </c:pt>
                <c:pt idx="1">
                  <c:v>562</c:v>
                </c:pt>
                <c:pt idx="2">
                  <c:v>510</c:v>
                </c:pt>
                <c:pt idx="3">
                  <c:v>469</c:v>
                </c:pt>
                <c:pt idx="4">
                  <c:v>469</c:v>
                </c:pt>
                <c:pt idx="5">
                  <c:v>478</c:v>
                </c:pt>
                <c:pt idx="6">
                  <c:v>523</c:v>
                </c:pt>
                <c:pt idx="7">
                  <c:v>498</c:v>
                </c:pt>
                <c:pt idx="8">
                  <c:v>508</c:v>
                </c:pt>
                <c:pt idx="9">
                  <c:v>625</c:v>
                </c:pt>
                <c:pt idx="10">
                  <c:v>615</c:v>
                </c:pt>
                <c:pt idx="11">
                  <c:v>643</c:v>
                </c:pt>
                <c:pt idx="12">
                  <c:v>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AE-4CC0-B13D-2487ED6E2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964213775"/>
        <c:axId val="964214255"/>
      </c:lineChart>
      <c:catAx>
        <c:axId val="96421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214255"/>
        <c:crosses val="autoZero"/>
        <c:auto val="1"/>
        <c:lblAlgn val="ctr"/>
        <c:lblOffset val="100"/>
        <c:noMultiLvlLbl val="0"/>
      </c:catAx>
      <c:valAx>
        <c:axId val="964214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21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[Faraz Ansari - Emoneeds Dashboard.xlsx]DB2!PivotTable3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New Patient Acquisition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'DB2'!$M$3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'DB2'!$L$4:$L$17</c:f>
              <c:strCache>
                <c:ptCount val="13"/>
                <c:pt idx="0">
                  <c:v>December</c:v>
                </c:pt>
                <c:pt idx="1">
                  <c:v>January</c:v>
                </c:pt>
                <c:pt idx="2">
                  <c:v>September</c:v>
                </c:pt>
                <c:pt idx="3">
                  <c:v>November</c:v>
                </c:pt>
                <c:pt idx="4">
                  <c:v>October</c:v>
                </c:pt>
                <c:pt idx="5">
                  <c:v>February</c:v>
                </c:pt>
                <c:pt idx="6">
                  <c:v>July</c:v>
                </c:pt>
                <c:pt idx="7">
                  <c:v>June</c:v>
                </c:pt>
                <c:pt idx="8">
                  <c:v>April</c:v>
                </c:pt>
                <c:pt idx="9">
                  <c:v>Sep</c:v>
                </c:pt>
                <c:pt idx="10">
                  <c:v>May</c:v>
                </c:pt>
                <c:pt idx="11">
                  <c:v>Aug</c:v>
                </c:pt>
                <c:pt idx="12">
                  <c:v>March</c:v>
                </c:pt>
              </c:strCache>
            </c:strRef>
          </c:cat>
          <c:val>
            <c:numRef>
              <c:f>'DB2'!$M$4:$M$17</c:f>
              <c:numCache>
                <c:formatCode>General</c:formatCode>
                <c:ptCount val="13"/>
                <c:pt idx="0">
                  <c:v>96</c:v>
                </c:pt>
                <c:pt idx="1">
                  <c:v>79</c:v>
                </c:pt>
                <c:pt idx="2">
                  <c:v>76</c:v>
                </c:pt>
                <c:pt idx="3">
                  <c:v>76</c:v>
                </c:pt>
                <c:pt idx="4">
                  <c:v>75</c:v>
                </c:pt>
                <c:pt idx="5">
                  <c:v>68</c:v>
                </c:pt>
                <c:pt idx="6">
                  <c:v>64</c:v>
                </c:pt>
                <c:pt idx="7">
                  <c:v>63</c:v>
                </c:pt>
                <c:pt idx="8">
                  <c:v>57</c:v>
                </c:pt>
                <c:pt idx="9">
                  <c:v>53</c:v>
                </c:pt>
                <c:pt idx="10">
                  <c:v>52</c:v>
                </c:pt>
                <c:pt idx="11">
                  <c:v>51</c:v>
                </c:pt>
                <c:pt idx="1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7-45A2-8463-2D3084FC2AB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84513183"/>
        <c:axId val="1484507903"/>
      </c:barChart>
      <c:catAx>
        <c:axId val="148451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507903"/>
        <c:crosses val="autoZero"/>
        <c:auto val="1"/>
        <c:lblAlgn val="ctr"/>
        <c:lblOffset val="100"/>
        <c:noMultiLvlLbl val="0"/>
      </c:catAx>
      <c:valAx>
        <c:axId val="148450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51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[Faraz Ansari - Emoneeds Dashboard.xlsx]DB2!PivotTable4</c:name>
    <c:fmtId val="2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446570037851798E-2"/>
          <c:y val="0.12427378709563146"/>
          <c:w val="0.92453391779635796"/>
          <c:h val="0.645426146885013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'DB2'!$AM$3:$AM$4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'DB2'!$AL$5:$AL$18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'DB2'!$AM$5:$AM$18</c:f>
              <c:numCache>
                <c:formatCode>General</c:formatCode>
                <c:ptCount val="13"/>
                <c:pt idx="0">
                  <c:v>272</c:v>
                </c:pt>
                <c:pt idx="1">
                  <c:v>231</c:v>
                </c:pt>
                <c:pt idx="2">
                  <c:v>197</c:v>
                </c:pt>
                <c:pt idx="3">
                  <c:v>209</c:v>
                </c:pt>
                <c:pt idx="4">
                  <c:v>210</c:v>
                </c:pt>
                <c:pt idx="5">
                  <c:v>212</c:v>
                </c:pt>
                <c:pt idx="6">
                  <c:v>230</c:v>
                </c:pt>
                <c:pt idx="7">
                  <c:v>279</c:v>
                </c:pt>
                <c:pt idx="8">
                  <c:v>254</c:v>
                </c:pt>
                <c:pt idx="9">
                  <c:v>266</c:v>
                </c:pt>
                <c:pt idx="10">
                  <c:v>284</c:v>
                </c:pt>
                <c:pt idx="11">
                  <c:v>234</c:v>
                </c:pt>
                <c:pt idx="12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A-4085-9845-1C3BC2E03727}"/>
            </c:ext>
          </c:extLst>
        </c:ser>
        <c:ser>
          <c:idx val="1"/>
          <c:order val="1"/>
          <c:tx>
            <c:strRef>
              <c:f>'DB2'!$AN$3:$AN$4</c:f>
              <c:strCache>
                <c:ptCount val="1"/>
                <c:pt idx="0">
                  <c:v>Inactive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'DB2'!$AL$5:$AL$18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'DB2'!$AN$5:$AN$18</c:f>
              <c:numCache>
                <c:formatCode>General</c:formatCode>
                <c:ptCount val="13"/>
                <c:pt idx="0">
                  <c:v>106</c:v>
                </c:pt>
                <c:pt idx="1">
                  <c:v>100</c:v>
                </c:pt>
                <c:pt idx="2">
                  <c:v>95</c:v>
                </c:pt>
                <c:pt idx="3">
                  <c:v>67</c:v>
                </c:pt>
                <c:pt idx="4">
                  <c:v>61</c:v>
                </c:pt>
                <c:pt idx="5">
                  <c:v>52</c:v>
                </c:pt>
                <c:pt idx="6">
                  <c:v>63</c:v>
                </c:pt>
                <c:pt idx="7">
                  <c:v>81</c:v>
                </c:pt>
                <c:pt idx="8">
                  <c:v>111</c:v>
                </c:pt>
                <c:pt idx="9">
                  <c:v>87</c:v>
                </c:pt>
                <c:pt idx="10">
                  <c:v>91</c:v>
                </c:pt>
                <c:pt idx="11">
                  <c:v>70</c:v>
                </c:pt>
                <c:pt idx="1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89A-4085-9845-1C3BC2E03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2380111"/>
        <c:axId val="1492380591"/>
      </c:barChart>
      <c:catAx>
        <c:axId val="149238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380591"/>
        <c:crosses val="autoZero"/>
        <c:auto val="1"/>
        <c:lblAlgn val="ctr"/>
        <c:lblOffset val="100"/>
        <c:noMultiLvlLbl val="0"/>
      </c:catAx>
      <c:valAx>
        <c:axId val="149238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38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480060</xdr:colOff>
      <xdr:row>16</xdr:row>
      <xdr:rowOff>83820</xdr:rowOff>
    </xdr:from>
    <xdr:to>
      <xdr:col>10</xdr:col>
      <xdr:colOff>525780</xdr:colOff>
      <xdr:row>19</xdr:row>
      <xdr:rowOff>68580</xdr:rowOff>
    </xdr:to>
    <xdr:sp macro="" textlink="X13">
      <xdr:nvSpPr>
        <xdr:cNvPr id="8" name="Rectangle 7">
          <a:extLst>
            <a:ext uri="{FF2B5EF4-FFF2-40B4-BE49-F238E27FC236}">
              <a16:creationId xmlns:a16="http://schemas.microsoft.com/office/drawing/2014/main" id="{1CE9D854-F0D2-46C4-B028-7D29F5834C93}"/>
            </a:ext>
          </a:extLst>
        </xdr:cNvPr>
        <xdr:cNvSpPr/>
      </xdr:nvSpPr>
      <xdr:spPr>
        <a:xfrm>
          <a:off x="7947660" y="3009900"/>
          <a:ext cx="2446020" cy="53340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20DE52F-3045-424A-9C79-E0EA212B0189}" type="TxLink">
            <a:rPr lang="en-US" sz="2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23.48%</a:t>
          </a:fld>
          <a:endParaRPr lang="en-IN" sz="2400" b="1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502920</xdr:colOff>
      <xdr:row>14</xdr:row>
      <xdr:rowOff>76200</xdr:rowOff>
    </xdr:from>
    <xdr:to>
      <xdr:col>10</xdr:col>
      <xdr:colOff>548640</xdr:colOff>
      <xdr:row>16</xdr:row>
      <xdr:rowOff>167640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4EC3316-4D5D-251B-E9FD-9E2B8498D88E}"/>
            </a:ext>
          </a:extLst>
        </xdr:cNvPr>
        <xdr:cNvSpPr/>
      </xdr:nvSpPr>
      <xdr:spPr>
        <a:xfrm>
          <a:off x="7970520" y="2636520"/>
          <a:ext cx="2446020" cy="45720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New Patient</a:t>
          </a:r>
          <a:r>
            <a:rPr lang="en-IN" sz="2400" b="1" baseline="0"/>
            <a:t> Rate</a:t>
          </a:r>
        </a:p>
      </xdr:txBody>
    </xdr:sp>
    <xdr:clientData/>
  </xdr:twoCellAnchor>
  <xdr:twoCellAnchor>
    <xdr:from>
      <xdr:col>0</xdr:col>
      <xdr:colOff>15240</xdr:colOff>
      <xdr:row>0</xdr:row>
      <xdr:rowOff>7620</xdr:rowOff>
    </xdr:from>
    <xdr:to>
      <xdr:col>5</xdr:col>
      <xdr:colOff>144780</xdr:colOff>
      <xdr:row>14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C6E0C7-B00E-4D6D-A069-11145671A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121920</xdr:colOff>
      <xdr:row>0</xdr:row>
      <xdr:rowOff>0</xdr:rowOff>
    </xdr:from>
    <xdr:to>
      <xdr:col>11</xdr:col>
      <xdr:colOff>121920</xdr:colOff>
      <xdr:row>14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806C9D-3D51-DAFE-5980-684AF6101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</xdr:row>
      <xdr:rowOff>64770</xdr:rowOff>
    </xdr:from>
    <xdr:to>
      <xdr:col>5</xdr:col>
      <xdr:colOff>129540</xdr:colOff>
      <xdr:row>26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66F1BD-A31D-C763-481B-D2BB673E1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129540</xdr:colOff>
      <xdr:row>23</xdr:row>
      <xdr:rowOff>76200</xdr:rowOff>
    </xdr:from>
    <xdr:to>
      <xdr:col>8</xdr:col>
      <xdr:colOff>502920</xdr:colOff>
      <xdr:row>26</xdr:row>
      <xdr:rowOff>15240</xdr:rowOff>
    </xdr:to>
    <xdr:sp macro="" textlink="S9">
      <xdr:nvSpPr>
        <xdr:cNvPr id="6" name="Rectangle 8">
          <a:extLst>
            <a:ext uri="{FF2B5EF4-FFF2-40B4-BE49-F238E27FC236}">
              <a16:creationId xmlns:a16="http://schemas.microsoft.com/office/drawing/2014/main" id="{25CC9F5B-B391-4ED9-A8EE-9C61BF5F07DA}"/>
            </a:ext>
          </a:extLst>
        </xdr:cNvPr>
        <xdr:cNvSpPr/>
      </xdr:nvSpPr>
      <xdr:spPr>
        <a:xfrm>
          <a:off x="5059680" y="4282440"/>
          <a:ext cx="2910840" cy="4876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6F4479EB-F0DF-4AD1-8A99-1F8BE1FA2DC7}" type="TxLink">
            <a:rPr lang="en-US" sz="2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l"/>
            <a:t>84.78%</a:t>
          </a:fld>
          <a:endParaRPr lang="en-IN" sz="24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137160</xdr:colOff>
      <xdr:row>19</xdr:row>
      <xdr:rowOff>53340</xdr:rowOff>
    </xdr:from>
    <xdr:to>
      <xdr:col>8</xdr:col>
      <xdr:colOff>502920</xdr:colOff>
      <xdr:row>24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167EA98-FCE2-4786-8D1E-C727C12A5FD5}"/>
            </a:ext>
          </a:extLst>
        </xdr:cNvPr>
        <xdr:cNvSpPr/>
      </xdr:nvSpPr>
      <xdr:spPr>
        <a:xfrm>
          <a:off x="5067300" y="3528060"/>
          <a:ext cx="2903220" cy="86106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Gurgaon Market Share</a:t>
          </a:r>
          <a:endParaRPr lang="en-IN" sz="2400" b="1" baseline="0"/>
        </a:p>
      </xdr:txBody>
    </xdr:sp>
    <xdr:clientData/>
  </xdr:twoCellAnchor>
  <xdr:twoCellAnchor>
    <xdr:from>
      <xdr:col>5</xdr:col>
      <xdr:colOff>137160</xdr:colOff>
      <xdr:row>16</xdr:row>
      <xdr:rowOff>76200</xdr:rowOff>
    </xdr:from>
    <xdr:to>
      <xdr:col>8</xdr:col>
      <xdr:colOff>502920</xdr:colOff>
      <xdr:row>19</xdr:row>
      <xdr:rowOff>53340</xdr:rowOff>
    </xdr:to>
    <xdr:sp macro="" textlink="F7">
      <xdr:nvSpPr>
        <xdr:cNvPr id="11" name="Rectangle 10">
          <a:extLst>
            <a:ext uri="{FF2B5EF4-FFF2-40B4-BE49-F238E27FC236}">
              <a16:creationId xmlns:a16="http://schemas.microsoft.com/office/drawing/2014/main" id="{BC536B1C-4791-42AB-A97D-1DAE8399C9F5}"/>
            </a:ext>
          </a:extLst>
        </xdr:cNvPr>
        <xdr:cNvSpPr/>
      </xdr:nvSpPr>
      <xdr:spPr>
        <a:xfrm>
          <a:off x="5067300" y="3002280"/>
          <a:ext cx="2903220" cy="5257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F93EC0FB-16C6-479F-9E3A-564B7CB78162}" type="TxLink">
            <a:rPr lang="en-US" sz="2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l"/>
            <a:t>-1.71%</a:t>
          </a:fld>
          <a:endParaRPr lang="en-IN" sz="24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137160</xdr:colOff>
      <xdr:row>14</xdr:row>
      <xdr:rowOff>76200</xdr:rowOff>
    </xdr:from>
    <xdr:to>
      <xdr:col>8</xdr:col>
      <xdr:colOff>502209</xdr:colOff>
      <xdr:row>16</xdr:row>
      <xdr:rowOff>167640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3CE7925-4B7F-4343-856E-B14D3CC40252}"/>
            </a:ext>
          </a:extLst>
        </xdr:cNvPr>
        <xdr:cNvSpPr/>
      </xdr:nvSpPr>
      <xdr:spPr>
        <a:xfrm>
          <a:off x="5067300" y="2636520"/>
          <a:ext cx="2902509" cy="45720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Monthly Change Rate</a:t>
          </a:r>
        </a:p>
        <a:p>
          <a:pPr algn="l"/>
          <a:endParaRPr lang="en-IN" sz="2400" b="1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487680</xdr:colOff>
      <xdr:row>13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934286-30B9-149F-12D4-FC9CED9E71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487680</xdr:colOff>
      <xdr:row>0</xdr:row>
      <xdr:rowOff>0</xdr:rowOff>
    </xdr:from>
    <xdr:to>
      <xdr:col>16</xdr:col>
      <xdr:colOff>53340</xdr:colOff>
      <xdr:row>14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BFC825-0DB6-BD26-592E-DE040FA2A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</xdr:colOff>
      <xdr:row>13</xdr:row>
      <xdr:rowOff>0</xdr:rowOff>
    </xdr:from>
    <xdr:to>
      <xdr:col>7</xdr:col>
      <xdr:colOff>480060</xdr:colOff>
      <xdr:row>26</xdr:row>
      <xdr:rowOff>106680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B5FBDC-A01F-DB18-3C4D-EB394812C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3</xdr:col>
      <xdr:colOff>670560</xdr:colOff>
      <xdr:row>16</xdr:row>
      <xdr:rowOff>60960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93766C2-D598-351C-BE8E-83CF495544DF}"/>
            </a:ext>
          </a:extLst>
        </xdr:cNvPr>
        <xdr:cNvSpPr txBox="1"/>
      </xdr:nvSpPr>
      <xdr:spPr>
        <a:xfrm>
          <a:off x="2750820" y="2987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7</xdr:col>
      <xdr:colOff>472440</xdr:colOff>
      <xdr:row>16</xdr:row>
      <xdr:rowOff>121920</xdr:rowOff>
    </xdr:from>
    <xdr:to>
      <xdr:col>11</xdr:col>
      <xdr:colOff>937260</xdr:colOff>
      <xdr:row>19</xdr:row>
      <xdr:rowOff>99060</xdr:rowOff>
    </xdr:to>
    <xdr:sp macro="" textlink="AA19">
      <xdr:nvSpPr>
        <xdr:cNvPr id="8" name="Rectangle 7">
          <a:extLst>
            <a:ext uri="{FF2B5EF4-FFF2-40B4-BE49-F238E27FC236}">
              <a16:creationId xmlns:a16="http://schemas.microsoft.com/office/drawing/2014/main" id="{1FB018A1-2264-49E8-BBDB-9ABE6C685ECF}"/>
            </a:ext>
          </a:extLst>
        </xdr:cNvPr>
        <xdr:cNvSpPr/>
      </xdr:nvSpPr>
      <xdr:spPr>
        <a:xfrm>
          <a:off x="5242560" y="3048000"/>
          <a:ext cx="2903220" cy="5257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BAC1869D-A580-45F0-9D06-34FC8EF934A9}" type="TxLink">
            <a:rPr lang="en-US" sz="2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l"/>
            <a:t>63.29%</a:t>
          </a:fld>
          <a:endParaRPr lang="en-IN" sz="24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7</xdr:col>
      <xdr:colOff>472440</xdr:colOff>
      <xdr:row>14</xdr:row>
      <xdr:rowOff>121920</xdr:rowOff>
    </xdr:from>
    <xdr:to>
      <xdr:col>11</xdr:col>
      <xdr:colOff>936549</xdr:colOff>
      <xdr:row>17</xdr:row>
      <xdr:rowOff>30480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BD5C406-B636-4C46-BE29-E5EEA03F1805}"/>
            </a:ext>
          </a:extLst>
        </xdr:cNvPr>
        <xdr:cNvSpPr/>
      </xdr:nvSpPr>
      <xdr:spPr>
        <a:xfrm>
          <a:off x="5242560" y="2682240"/>
          <a:ext cx="2902509" cy="45720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Renewal Rate</a:t>
          </a:r>
        </a:p>
        <a:p>
          <a:pPr marL="0" indent="0" algn="l"/>
          <a:endParaRPr lang="en-IN" sz="24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7</xdr:col>
      <xdr:colOff>464820</xdr:colOff>
      <xdr:row>23</xdr:row>
      <xdr:rowOff>121920</xdr:rowOff>
    </xdr:from>
    <xdr:to>
      <xdr:col>11</xdr:col>
      <xdr:colOff>937260</xdr:colOff>
      <xdr:row>26</xdr:row>
      <xdr:rowOff>60960</xdr:rowOff>
    </xdr:to>
    <xdr:sp macro="" textlink="Z39">
      <xdr:nvSpPr>
        <xdr:cNvPr id="10" name="Rectangle 8">
          <a:extLst>
            <a:ext uri="{FF2B5EF4-FFF2-40B4-BE49-F238E27FC236}">
              <a16:creationId xmlns:a16="http://schemas.microsoft.com/office/drawing/2014/main" id="{CE1DC9F2-B2E9-4F47-BAB3-66C6FDAE71E2}"/>
            </a:ext>
          </a:extLst>
        </xdr:cNvPr>
        <xdr:cNvSpPr/>
      </xdr:nvSpPr>
      <xdr:spPr>
        <a:xfrm>
          <a:off x="5234940" y="4328160"/>
          <a:ext cx="2910840" cy="4876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86881087-4AFF-4268-B590-C129FCF12458}" type="TxLink">
            <a:rPr lang="en-US" sz="2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l"/>
            <a:t>90.96%</a:t>
          </a:fld>
          <a:endParaRPr lang="en-IN" sz="24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7</xdr:col>
      <xdr:colOff>472440</xdr:colOff>
      <xdr:row>19</xdr:row>
      <xdr:rowOff>99060</xdr:rowOff>
    </xdr:from>
    <xdr:to>
      <xdr:col>11</xdr:col>
      <xdr:colOff>937260</xdr:colOff>
      <xdr:row>24</xdr:row>
      <xdr:rowOff>45720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1356182-450F-41F1-A3CA-49E989BD3AB5}"/>
            </a:ext>
          </a:extLst>
        </xdr:cNvPr>
        <xdr:cNvSpPr/>
      </xdr:nvSpPr>
      <xdr:spPr>
        <a:xfrm>
          <a:off x="5242560" y="3573780"/>
          <a:ext cx="2903220" cy="86106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Gurgaon Market Share</a:t>
          </a:r>
          <a:endParaRPr lang="en-IN" sz="2400" b="1" baseline="0"/>
        </a:p>
      </xdr:txBody>
    </xdr:sp>
    <xdr:clientData/>
  </xdr:twoCellAnchor>
  <xdr:twoCellAnchor>
    <xdr:from>
      <xdr:col>11</xdr:col>
      <xdr:colOff>929640</xdr:colOff>
      <xdr:row>18</xdr:row>
      <xdr:rowOff>144780</xdr:rowOff>
    </xdr:from>
    <xdr:to>
      <xdr:col>17</xdr:col>
      <xdr:colOff>135588</xdr:colOff>
      <xdr:row>21</xdr:row>
      <xdr:rowOff>83820</xdr:rowOff>
    </xdr:to>
    <xdr:sp macro="" textlink="AN37">
      <xdr:nvSpPr>
        <xdr:cNvPr id="12" name="Rectangle 8">
          <a:extLst>
            <a:ext uri="{FF2B5EF4-FFF2-40B4-BE49-F238E27FC236}">
              <a16:creationId xmlns:a16="http://schemas.microsoft.com/office/drawing/2014/main" id="{AC37A6BB-4AEE-4F08-8C08-E028D566FA61}"/>
            </a:ext>
          </a:extLst>
        </xdr:cNvPr>
        <xdr:cNvSpPr/>
      </xdr:nvSpPr>
      <xdr:spPr>
        <a:xfrm>
          <a:off x="8138160" y="3436620"/>
          <a:ext cx="3465528" cy="48768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4AAB4375-C602-40AD-ACEB-1899DF617809}" type="TxLink">
            <a:rPr lang="en-US" sz="2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l"/>
            <a:t>96</a:t>
          </a:fld>
          <a:endParaRPr lang="en-IN" sz="24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11</xdr:col>
      <xdr:colOff>937260</xdr:colOff>
      <xdr:row>14</xdr:row>
      <xdr:rowOff>121920</xdr:rowOff>
    </xdr:from>
    <xdr:to>
      <xdr:col>17</xdr:col>
      <xdr:colOff>137160</xdr:colOff>
      <xdr:row>19</xdr:row>
      <xdr:rowOff>68580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E889CBC-A92B-4618-B445-AF4C44F3C635}"/>
            </a:ext>
          </a:extLst>
        </xdr:cNvPr>
        <xdr:cNvSpPr/>
      </xdr:nvSpPr>
      <xdr:spPr>
        <a:xfrm>
          <a:off x="8145780" y="2682240"/>
          <a:ext cx="3459480" cy="86106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 baseline="0"/>
            <a:t>Highest New Plans in One Month(December)</a:t>
          </a: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0.44909</cdr:x>
      <cdr:y>0.05946</cdr:y>
    </cdr:from>
    <cdr:to>
      <cdr:x>0.61646</cdr:x>
      <cdr:y>0.14811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C3CE7E1-C97C-62BC-0A00-6C67D1639194}"/>
            </a:ext>
          </a:extLst>
        </cdr:cNvPr>
        <cdr:cNvSpPr txBox="1"/>
      </cdr:nvSpPr>
      <cdr:spPr>
        <a:xfrm xmlns:a="http://schemas.openxmlformats.org/drawingml/2006/main">
          <a:off x="2453640" y="209550"/>
          <a:ext cx="914400" cy="3124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0.45017</cdr:x>
      <cdr:y>0.03261</cdr:y>
    </cdr:from>
    <cdr:to>
      <cdr:x>0.58763</cdr:x>
      <cdr:y>0.08877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DB56272-D29E-CD42-D3C9-8BC191ACCDB5}"/>
            </a:ext>
          </a:extLst>
        </cdr:cNvPr>
        <cdr:cNvSpPr txBox="1"/>
      </cdr:nvSpPr>
      <cdr:spPr>
        <a:xfrm xmlns:a="http://schemas.openxmlformats.org/drawingml/2006/main">
          <a:off x="2994660" y="137160"/>
          <a:ext cx="914400" cy="2362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0.29324</cdr:x>
      <cdr:y>0.01812</cdr:y>
    </cdr:from>
    <cdr:to>
      <cdr:x>0.58534</cdr:x>
      <cdr:y>0.10429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297F9AC5-17C6-A6FF-8161-8C34155F94A2}"/>
            </a:ext>
          </a:extLst>
        </cdr:cNvPr>
        <cdr:cNvSpPr txBox="1"/>
      </cdr:nvSpPr>
      <cdr:spPr>
        <a:xfrm xmlns:a="http://schemas.openxmlformats.org/drawingml/2006/main">
          <a:off x="1481475" y="45002"/>
          <a:ext cx="1475687" cy="2140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/>
            <a:t>Inactive vs. Active Patient Status</a:t>
          </a:r>
          <a:endParaRPr lang="en-IN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h" refreshedDate="45954.512677662038" createdVersion="8" refreshedVersion="8" minRefreshableVersion="3" recordCount="36" xr:uid="{6D238E38-507A-4EF4-99BD-9AAAF87F9581}">
  <cacheSource type="worksheet">
    <worksheetSource ref="A1:D38" sheet="Data 1 Analysis"/>
  </cacheSource>
  <cacheFields count="4">
    <cacheField name="Month" numFmtId="0">
      <sharedItems count="3">
        <s v="SEP"/>
        <s v="AUG"/>
        <s v="JULY"/>
      </sharedItems>
    </cacheField>
    <cacheField name="Location" numFmtId="0">
      <sharedItems count="2">
        <s v="Gurgaon"/>
        <s v="GK 1"/>
      </sharedItems>
    </cacheField>
    <cacheField name="Longevity Analysis" numFmtId="0">
      <sharedItems count="6">
        <s v="1 month"/>
        <s v="1-3 months"/>
        <s v="3-6 months"/>
        <s v="6-9 months"/>
        <s v="9-12 months"/>
        <s v="More than a year"/>
      </sharedItems>
    </cacheField>
    <cacheField name="Patient Count" numFmtId="0">
      <sharedItems containsSemiMixedTypes="0" containsString="0" containsNumber="1" containsInteger="1" minValue="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h" refreshedDate="45954.722122453706" createdVersion="8" refreshedVersion="8" minRefreshableVersion="3" recordCount="130" xr:uid="{E3DA30BE-E36C-4B99-A99F-009689E77CC7}">
  <cacheSource type="worksheet">
    <worksheetSource ref="N2:Q132" sheet="Data 2"/>
  </cacheSource>
  <cacheFields count="4">
    <cacheField name="Month" numFmtId="0">
      <sharedItems count="13">
        <s v="September"/>
        <s v="October"/>
        <s v="November"/>
        <s v="December"/>
        <s v="January"/>
        <s v="February"/>
        <s v="March"/>
        <s v="April"/>
        <s v="May"/>
        <s v="June"/>
        <s v="July"/>
        <s v="Aug"/>
        <s v="Sep"/>
      </sharedItems>
    </cacheField>
    <cacheField name="Location" numFmtId="0">
      <sharedItems count="2">
        <s v="Gurgaon"/>
        <s v="GK 1"/>
      </sharedItems>
    </cacheField>
    <cacheField name="Patient Status" numFmtId="0">
      <sharedItems count="5">
        <s v="Active"/>
        <s v="Renewal"/>
        <s v="Old Revival"/>
        <s v="New Plans"/>
        <s v="Inactive"/>
      </sharedItems>
    </cacheField>
    <cacheField name="Count" numFmtId="0">
      <sharedItems containsSemiMixedTypes="0" containsString="0" containsNumber="1" containsInteger="1" minValue="0" maxValue="2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43"/>
  </r>
  <r>
    <x v="0"/>
    <x v="1"/>
    <x v="0"/>
    <n v="11"/>
  </r>
  <r>
    <x v="1"/>
    <x v="0"/>
    <x v="0"/>
    <n v="41"/>
  </r>
  <r>
    <x v="1"/>
    <x v="1"/>
    <x v="0"/>
    <n v="12"/>
  </r>
  <r>
    <x v="2"/>
    <x v="0"/>
    <x v="0"/>
    <n v="48"/>
  </r>
  <r>
    <x v="2"/>
    <x v="1"/>
    <x v="0"/>
    <n v="16"/>
  </r>
  <r>
    <x v="0"/>
    <x v="0"/>
    <x v="1"/>
    <n v="43"/>
  </r>
  <r>
    <x v="0"/>
    <x v="1"/>
    <x v="1"/>
    <n v="14"/>
  </r>
  <r>
    <x v="1"/>
    <x v="0"/>
    <x v="1"/>
    <n v="50"/>
  </r>
  <r>
    <x v="1"/>
    <x v="1"/>
    <x v="1"/>
    <n v="13"/>
  </r>
  <r>
    <x v="2"/>
    <x v="0"/>
    <x v="1"/>
    <n v="43"/>
  </r>
  <r>
    <x v="2"/>
    <x v="1"/>
    <x v="1"/>
    <n v="8"/>
  </r>
  <r>
    <x v="0"/>
    <x v="0"/>
    <x v="2"/>
    <n v="41"/>
  </r>
  <r>
    <x v="0"/>
    <x v="1"/>
    <x v="2"/>
    <n v="7"/>
  </r>
  <r>
    <x v="1"/>
    <x v="0"/>
    <x v="2"/>
    <n v="37"/>
  </r>
  <r>
    <x v="1"/>
    <x v="1"/>
    <x v="2"/>
    <n v="6"/>
  </r>
  <r>
    <x v="2"/>
    <x v="0"/>
    <x v="2"/>
    <n v="39"/>
  </r>
  <r>
    <x v="2"/>
    <x v="1"/>
    <x v="2"/>
    <n v="3"/>
  </r>
  <r>
    <x v="0"/>
    <x v="0"/>
    <x v="3"/>
    <n v="26"/>
  </r>
  <r>
    <x v="0"/>
    <x v="1"/>
    <x v="3"/>
    <n v="2"/>
  </r>
  <r>
    <x v="1"/>
    <x v="0"/>
    <x v="3"/>
    <n v="30"/>
  </r>
  <r>
    <x v="1"/>
    <x v="1"/>
    <x v="3"/>
    <n v="2"/>
  </r>
  <r>
    <x v="2"/>
    <x v="0"/>
    <x v="3"/>
    <n v="33"/>
  </r>
  <r>
    <x v="2"/>
    <x v="1"/>
    <x v="3"/>
    <n v="1"/>
  </r>
  <r>
    <x v="0"/>
    <x v="0"/>
    <x v="4"/>
    <n v="10"/>
  </r>
  <r>
    <x v="0"/>
    <x v="1"/>
    <x v="4"/>
    <n v="1"/>
  </r>
  <r>
    <x v="1"/>
    <x v="0"/>
    <x v="4"/>
    <n v="12"/>
  </r>
  <r>
    <x v="1"/>
    <x v="1"/>
    <x v="4"/>
    <n v="0"/>
  </r>
  <r>
    <x v="2"/>
    <x v="0"/>
    <x v="4"/>
    <n v="18"/>
  </r>
  <r>
    <x v="2"/>
    <x v="1"/>
    <x v="4"/>
    <n v="0"/>
  </r>
  <r>
    <x v="0"/>
    <x v="0"/>
    <x v="5"/>
    <n v="32"/>
  </r>
  <r>
    <x v="0"/>
    <x v="1"/>
    <x v="5"/>
    <n v="0"/>
  </r>
  <r>
    <x v="1"/>
    <x v="0"/>
    <x v="5"/>
    <n v="31"/>
  </r>
  <r>
    <x v="1"/>
    <x v="1"/>
    <x v="5"/>
    <n v="0"/>
  </r>
  <r>
    <x v="2"/>
    <x v="0"/>
    <x v="5"/>
    <n v="28"/>
  </r>
  <r>
    <x v="2"/>
    <x v="1"/>
    <x v="5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x v="0"/>
    <x v="0"/>
    <x v="0"/>
    <n v="275"/>
  </r>
  <r>
    <x v="0"/>
    <x v="0"/>
    <x v="1"/>
    <n v="170"/>
  </r>
  <r>
    <x v="0"/>
    <x v="0"/>
    <x v="2"/>
    <n v="18"/>
  </r>
  <r>
    <x v="0"/>
    <x v="0"/>
    <x v="3"/>
    <n v="73"/>
  </r>
  <r>
    <x v="0"/>
    <x v="0"/>
    <x v="4"/>
    <n v="76"/>
  </r>
  <r>
    <x v="0"/>
    <x v="1"/>
    <x v="0"/>
    <n v="4"/>
  </r>
  <r>
    <x v="0"/>
    <x v="1"/>
    <x v="1"/>
    <n v="1"/>
  </r>
  <r>
    <x v="0"/>
    <x v="1"/>
    <x v="2"/>
    <n v="0"/>
  </r>
  <r>
    <x v="0"/>
    <x v="1"/>
    <x v="3"/>
    <n v="3"/>
  </r>
  <r>
    <x v="0"/>
    <x v="1"/>
    <x v="4"/>
    <n v="5"/>
  </r>
  <r>
    <x v="1"/>
    <x v="0"/>
    <x v="0"/>
    <n v="245"/>
  </r>
  <r>
    <x v="1"/>
    <x v="0"/>
    <x v="1"/>
    <n v="155"/>
  </r>
  <r>
    <x v="1"/>
    <x v="0"/>
    <x v="2"/>
    <n v="17"/>
  </r>
  <r>
    <x v="1"/>
    <x v="0"/>
    <x v="3"/>
    <n v="69"/>
  </r>
  <r>
    <x v="1"/>
    <x v="0"/>
    <x v="4"/>
    <n v="110"/>
  </r>
  <r>
    <x v="1"/>
    <x v="1"/>
    <x v="0"/>
    <n v="9"/>
  </r>
  <r>
    <x v="1"/>
    <x v="1"/>
    <x v="1"/>
    <n v="3"/>
  </r>
  <r>
    <x v="1"/>
    <x v="1"/>
    <x v="2"/>
    <n v="0"/>
  </r>
  <r>
    <x v="1"/>
    <x v="1"/>
    <x v="3"/>
    <n v="6"/>
  </r>
  <r>
    <x v="1"/>
    <x v="1"/>
    <x v="4"/>
    <n v="1"/>
  </r>
  <r>
    <x v="2"/>
    <x v="0"/>
    <x v="0"/>
    <n v="250"/>
  </r>
  <r>
    <x v="2"/>
    <x v="0"/>
    <x v="1"/>
    <n v="178"/>
  </r>
  <r>
    <x v="2"/>
    <x v="0"/>
    <x v="2"/>
    <n v="30"/>
  </r>
  <r>
    <x v="2"/>
    <x v="0"/>
    <x v="3"/>
    <n v="66"/>
  </r>
  <r>
    <x v="2"/>
    <x v="0"/>
    <x v="4"/>
    <n v="85"/>
  </r>
  <r>
    <x v="2"/>
    <x v="1"/>
    <x v="0"/>
    <n v="16"/>
  </r>
  <r>
    <x v="2"/>
    <x v="1"/>
    <x v="1"/>
    <n v="6"/>
  </r>
  <r>
    <x v="2"/>
    <x v="1"/>
    <x v="2"/>
    <n v="0"/>
  </r>
  <r>
    <x v="2"/>
    <x v="1"/>
    <x v="3"/>
    <n v="10"/>
  </r>
  <r>
    <x v="2"/>
    <x v="1"/>
    <x v="4"/>
    <n v="2"/>
  </r>
  <r>
    <x v="3"/>
    <x v="0"/>
    <x v="0"/>
    <n v="260"/>
  </r>
  <r>
    <x v="3"/>
    <x v="0"/>
    <x v="1"/>
    <n v="159"/>
  </r>
  <r>
    <x v="3"/>
    <x v="0"/>
    <x v="2"/>
    <n v="28"/>
  </r>
  <r>
    <x v="3"/>
    <x v="0"/>
    <x v="3"/>
    <n v="81"/>
  </r>
  <r>
    <x v="3"/>
    <x v="0"/>
    <x v="4"/>
    <n v="81"/>
  </r>
  <r>
    <x v="3"/>
    <x v="1"/>
    <x v="0"/>
    <n v="24"/>
  </r>
  <r>
    <x v="3"/>
    <x v="1"/>
    <x v="1"/>
    <n v="10"/>
  </r>
  <r>
    <x v="3"/>
    <x v="1"/>
    <x v="2"/>
    <n v="1"/>
  </r>
  <r>
    <x v="3"/>
    <x v="1"/>
    <x v="3"/>
    <n v="15"/>
  </r>
  <r>
    <x v="3"/>
    <x v="1"/>
    <x v="4"/>
    <n v="10"/>
  </r>
  <r>
    <x v="4"/>
    <x v="0"/>
    <x v="0"/>
    <n v="244"/>
  </r>
  <r>
    <x v="4"/>
    <x v="0"/>
    <x v="1"/>
    <n v="141"/>
  </r>
  <r>
    <x v="4"/>
    <x v="0"/>
    <x v="2"/>
    <n v="18"/>
  </r>
  <r>
    <x v="4"/>
    <x v="0"/>
    <x v="3"/>
    <n v="63"/>
  </r>
  <r>
    <x v="4"/>
    <x v="0"/>
    <x v="4"/>
    <n v="92"/>
  </r>
  <r>
    <x v="4"/>
    <x v="1"/>
    <x v="0"/>
    <n v="28"/>
  </r>
  <r>
    <x v="4"/>
    <x v="1"/>
    <x v="1"/>
    <n v="12"/>
  </r>
  <r>
    <x v="4"/>
    <x v="1"/>
    <x v="2"/>
    <n v="1"/>
  </r>
  <r>
    <x v="4"/>
    <x v="1"/>
    <x v="3"/>
    <n v="16"/>
  </r>
  <r>
    <x v="4"/>
    <x v="1"/>
    <x v="4"/>
    <n v="14"/>
  </r>
  <r>
    <x v="5"/>
    <x v="0"/>
    <x v="0"/>
    <n v="206"/>
  </r>
  <r>
    <x v="5"/>
    <x v="0"/>
    <x v="1"/>
    <n v="139"/>
  </r>
  <r>
    <x v="5"/>
    <x v="0"/>
    <x v="2"/>
    <n v="8"/>
  </r>
  <r>
    <x v="5"/>
    <x v="0"/>
    <x v="3"/>
    <n v="56"/>
  </r>
  <r>
    <x v="5"/>
    <x v="0"/>
    <x v="4"/>
    <n v="84"/>
  </r>
  <r>
    <x v="5"/>
    <x v="1"/>
    <x v="0"/>
    <n v="25"/>
  </r>
  <r>
    <x v="5"/>
    <x v="1"/>
    <x v="1"/>
    <n v="14"/>
  </r>
  <r>
    <x v="5"/>
    <x v="1"/>
    <x v="2"/>
    <n v="2"/>
  </r>
  <r>
    <x v="5"/>
    <x v="1"/>
    <x v="3"/>
    <n v="12"/>
  </r>
  <r>
    <x v="5"/>
    <x v="1"/>
    <x v="4"/>
    <n v="16"/>
  </r>
  <r>
    <x v="6"/>
    <x v="0"/>
    <x v="0"/>
    <n v="178"/>
  </r>
  <r>
    <x v="6"/>
    <x v="0"/>
    <x v="1"/>
    <n v="138"/>
  </r>
  <r>
    <x v="6"/>
    <x v="0"/>
    <x v="2"/>
    <n v="18"/>
  </r>
  <r>
    <x v="6"/>
    <x v="0"/>
    <x v="3"/>
    <n v="36"/>
  </r>
  <r>
    <x v="6"/>
    <x v="0"/>
    <x v="4"/>
    <n v="81"/>
  </r>
  <r>
    <x v="6"/>
    <x v="1"/>
    <x v="0"/>
    <n v="19"/>
  </r>
  <r>
    <x v="6"/>
    <x v="1"/>
    <x v="1"/>
    <n v="18"/>
  </r>
  <r>
    <x v="6"/>
    <x v="1"/>
    <x v="2"/>
    <n v="3"/>
  </r>
  <r>
    <x v="6"/>
    <x v="1"/>
    <x v="3"/>
    <n v="5"/>
  </r>
  <r>
    <x v="6"/>
    <x v="1"/>
    <x v="4"/>
    <n v="14"/>
  </r>
  <r>
    <x v="7"/>
    <x v="0"/>
    <x v="0"/>
    <n v="191"/>
  </r>
  <r>
    <x v="7"/>
    <x v="0"/>
    <x v="1"/>
    <n v="108"/>
  </r>
  <r>
    <x v="7"/>
    <x v="0"/>
    <x v="2"/>
    <n v="20"/>
  </r>
  <r>
    <x v="7"/>
    <x v="0"/>
    <x v="3"/>
    <n v="54"/>
  </r>
  <r>
    <x v="7"/>
    <x v="0"/>
    <x v="4"/>
    <n v="57"/>
  </r>
  <r>
    <x v="7"/>
    <x v="1"/>
    <x v="0"/>
    <n v="18"/>
  </r>
  <r>
    <x v="7"/>
    <x v="1"/>
    <x v="1"/>
    <n v="4"/>
  </r>
  <r>
    <x v="7"/>
    <x v="1"/>
    <x v="2"/>
    <n v="4"/>
  </r>
  <r>
    <x v="7"/>
    <x v="1"/>
    <x v="3"/>
    <n v="3"/>
  </r>
  <r>
    <x v="7"/>
    <x v="1"/>
    <x v="4"/>
    <n v="10"/>
  </r>
  <r>
    <x v="8"/>
    <x v="0"/>
    <x v="0"/>
    <n v="190"/>
  </r>
  <r>
    <x v="8"/>
    <x v="0"/>
    <x v="1"/>
    <n v="126"/>
  </r>
  <r>
    <x v="8"/>
    <x v="0"/>
    <x v="2"/>
    <n v="11"/>
  </r>
  <r>
    <x v="8"/>
    <x v="0"/>
    <x v="3"/>
    <n v="43"/>
  </r>
  <r>
    <x v="8"/>
    <x v="0"/>
    <x v="4"/>
    <n v="53"/>
  </r>
  <r>
    <x v="8"/>
    <x v="1"/>
    <x v="0"/>
    <n v="20"/>
  </r>
  <r>
    <x v="8"/>
    <x v="1"/>
    <x v="1"/>
    <n v="6"/>
  </r>
  <r>
    <x v="8"/>
    <x v="1"/>
    <x v="2"/>
    <n v="3"/>
  </r>
  <r>
    <x v="8"/>
    <x v="1"/>
    <x v="3"/>
    <n v="9"/>
  </r>
  <r>
    <x v="8"/>
    <x v="1"/>
    <x v="4"/>
    <n v="8"/>
  </r>
  <r>
    <x v="9"/>
    <x v="0"/>
    <x v="0"/>
    <n v="188"/>
  </r>
  <r>
    <x v="9"/>
    <x v="0"/>
    <x v="1"/>
    <n v="132"/>
  </r>
  <r>
    <x v="9"/>
    <x v="0"/>
    <x v="2"/>
    <n v="9"/>
  </r>
  <r>
    <x v="9"/>
    <x v="0"/>
    <x v="3"/>
    <n v="49"/>
  </r>
  <r>
    <x v="9"/>
    <x v="0"/>
    <x v="4"/>
    <n v="39"/>
  </r>
  <r>
    <x v="9"/>
    <x v="1"/>
    <x v="0"/>
    <n v="24"/>
  </r>
  <r>
    <x v="9"/>
    <x v="1"/>
    <x v="1"/>
    <n v="8"/>
  </r>
  <r>
    <x v="9"/>
    <x v="1"/>
    <x v="2"/>
    <n v="2"/>
  </r>
  <r>
    <x v="9"/>
    <x v="1"/>
    <x v="3"/>
    <n v="14"/>
  </r>
  <r>
    <x v="9"/>
    <x v="1"/>
    <x v="4"/>
    <n v="13"/>
  </r>
  <r>
    <x v="10"/>
    <x v="0"/>
    <x v="0"/>
    <n v="204"/>
  </r>
  <r>
    <x v="10"/>
    <x v="0"/>
    <x v="1"/>
    <n v="133"/>
  </r>
  <r>
    <x v="10"/>
    <x v="0"/>
    <x v="2"/>
    <n v="8"/>
  </r>
  <r>
    <x v="10"/>
    <x v="0"/>
    <x v="3"/>
    <n v="48"/>
  </r>
  <r>
    <x v="10"/>
    <x v="0"/>
    <x v="4"/>
    <n v="51"/>
  </r>
  <r>
    <x v="10"/>
    <x v="1"/>
    <x v="0"/>
    <n v="26"/>
  </r>
  <r>
    <x v="10"/>
    <x v="1"/>
    <x v="1"/>
    <n v="9"/>
  </r>
  <r>
    <x v="10"/>
    <x v="1"/>
    <x v="2"/>
    <n v="1"/>
  </r>
  <r>
    <x v="10"/>
    <x v="1"/>
    <x v="3"/>
    <n v="16"/>
  </r>
  <r>
    <x v="10"/>
    <x v="1"/>
    <x v="4"/>
    <n v="12"/>
  </r>
  <r>
    <x v="11"/>
    <x v="0"/>
    <x v="0"/>
    <n v="201"/>
  </r>
  <r>
    <x v="11"/>
    <x v="0"/>
    <x v="1"/>
    <n v="138"/>
  </r>
  <r>
    <x v="11"/>
    <x v="0"/>
    <x v="2"/>
    <n v="13"/>
  </r>
  <r>
    <x v="11"/>
    <x v="0"/>
    <x v="3"/>
    <n v="41"/>
  </r>
  <r>
    <x v="11"/>
    <x v="0"/>
    <x v="4"/>
    <n v="60"/>
  </r>
  <r>
    <x v="11"/>
    <x v="1"/>
    <x v="0"/>
    <n v="33"/>
  </r>
  <r>
    <x v="11"/>
    <x v="1"/>
    <x v="1"/>
    <n v="16"/>
  </r>
  <r>
    <x v="11"/>
    <x v="1"/>
    <x v="2"/>
    <n v="1"/>
  </r>
  <r>
    <x v="11"/>
    <x v="1"/>
    <x v="3"/>
    <n v="10"/>
  </r>
  <r>
    <x v="11"/>
    <x v="1"/>
    <x v="4"/>
    <n v="10"/>
  </r>
  <r>
    <x v="12"/>
    <x v="0"/>
    <x v="0"/>
    <n v="195"/>
  </r>
  <r>
    <x v="12"/>
    <x v="0"/>
    <x v="1"/>
    <n v="124"/>
  </r>
  <r>
    <x v="12"/>
    <x v="0"/>
    <x v="2"/>
    <n v="7"/>
  </r>
  <r>
    <x v="12"/>
    <x v="0"/>
    <x v="3"/>
    <n v="43"/>
  </r>
  <r>
    <x v="12"/>
    <x v="0"/>
    <x v="4"/>
    <n v="56"/>
  </r>
  <r>
    <x v="12"/>
    <x v="1"/>
    <x v="0"/>
    <n v="35"/>
  </r>
  <r>
    <x v="12"/>
    <x v="1"/>
    <x v="1"/>
    <n v="19"/>
  </r>
  <r>
    <x v="12"/>
    <x v="1"/>
    <x v="2"/>
    <n v="1"/>
  </r>
  <r>
    <x v="12"/>
    <x v="1"/>
    <x v="3"/>
    <n v="10"/>
  </r>
  <r>
    <x v="12"/>
    <x v="1"/>
    <x v="4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A1E466-0C05-434E-83B2-26CEE75F52A9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E2:F6" firstHeaderRow="1" firstDataRow="1" firstDataCol="1"/>
  <pivotFields count="4">
    <pivotField axis="axisRow"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atient Coun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2F2F1-237D-48DD-BE8C-214ED19EEAD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:B8" firstHeaderRow="1" firstDataRow="1" firstDataCol="1"/>
  <pivotFields count="4">
    <pivotField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atient Count" fld="3" baseField="0" baseItem="0"/>
  </dataFields>
  <chartFormats count="7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4E4B57-2D0D-4B5C-9307-A8765A2CD5A1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R14:S17" firstHeaderRow="1" firstDataRow="1" firstDataCol="1" rowPageCount="1" colPageCount="1"/>
  <pivotFields count="4">
    <pivotField axis="axisPage" multipleItemSelectionAllowed="1" showAll="0">
      <items count="4">
        <item h="1" x="2"/>
        <item h="1"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Patient Coun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BE404D-518E-4C60-B48B-C9C7207080CA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R5:S8" firstHeaderRow="1" firstDataRow="1" firstDataCol="1" rowPageCount="1" colPageCount="1"/>
  <pivotFields count="4">
    <pivotField axis="axisPage" multipleItemSelectionAllowed="1" showAll="0">
      <items count="4">
        <item h="1" x="2"/>
        <item h="1"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Patient Coun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77CC8-6514-4430-BA7D-64F113237510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W5:X12" firstHeaderRow="1" firstDataRow="1" firstDataCol="1" rowPageCount="1" colPageCount="1"/>
  <pivotFields count="4">
    <pivotField axis="axisPage" multipleItemSelectionAllowed="1" showAll="0">
      <items count="4">
        <item h="1" x="2"/>
        <item h="1" x="1"/>
        <item x="0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0" hier="-1"/>
  </pageFields>
  <dataFields count="1">
    <dataField name="Sum of Patient Coun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ECF87-3BB4-43DE-AD50-A590968CDA96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3:J7" firstHeaderRow="1" firstDataRow="1" firstDataCol="1" rowPageCount="1" colPageCount="1"/>
  <pivotFields count="4">
    <pivotField axis="axisRow"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axis="axisPage" multipleItemSelectionAllowed="1" showAll="0">
      <items count="7">
        <item h="1" x="0"/>
        <item h="1" x="1"/>
        <item h="1" x="2"/>
        <item x="3"/>
        <item x="4"/>
        <item x="5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 of Patient Coun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CBEAF-9A9D-443F-9546-3797FCC6EB3A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>
  <location ref="L3:M17" firstHeaderRow="1" firstDataRow="1" firstDataCol="1" rowPageCount="1" colPageCount="1"/>
  <pivotFields count="4">
    <pivotField axis="axisRow" showAll="0" sortType="descending">
      <items count="14">
        <item x="11"/>
        <item x="12"/>
        <item x="4"/>
        <item x="5"/>
        <item x="6"/>
        <item x="7"/>
        <item x="8"/>
        <item x="9"/>
        <item x="10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multipleItemSelectionAllowed="1" showAll="0">
      <items count="6">
        <item h="1" x="0"/>
        <item h="1" x="4"/>
        <item x="3"/>
        <item h="1" x="2"/>
        <item h="1" x="1"/>
        <item t="default"/>
      </items>
    </pivotField>
    <pivotField dataField="1" showAll="0"/>
  </pivotFields>
  <rowFields count="1">
    <field x="0"/>
  </rowFields>
  <rowItems count="14">
    <i>
      <x v="12"/>
    </i>
    <i>
      <x v="2"/>
    </i>
    <i>
      <x v="9"/>
    </i>
    <i>
      <x v="11"/>
    </i>
    <i>
      <x v="10"/>
    </i>
    <i>
      <x v="3"/>
    </i>
    <i>
      <x v="8"/>
    </i>
    <i>
      <x v="7"/>
    </i>
    <i>
      <x v="5"/>
    </i>
    <i>
      <x v="1"/>
    </i>
    <i>
      <x v="6"/>
    </i>
    <i>
      <x/>
    </i>
    <i>
      <x v="4"/>
    </i>
    <i t="grand">
      <x/>
    </i>
  </rowItems>
  <colItems count="1">
    <i/>
  </colItems>
  <pageFields count="1">
    <pageField fld="2" hier="-1"/>
  </pageFields>
  <dataFields count="1">
    <dataField name="Sum of Count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D6A7E-6354-4824-AC90-FC70480BF2B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C4:D18" firstHeaderRow="1" firstDataRow="1" firstDataCol="1"/>
  <pivotFields count="4">
    <pivotField axis="axisRow" showAll="0" sortType="ascending">
      <items count="14">
        <item x="4"/>
        <item x="5"/>
        <item x="6"/>
        <item x="7"/>
        <item x="8"/>
        <item x="9"/>
        <item x="11"/>
        <item x="12"/>
        <item x="10"/>
        <item x="0"/>
        <item x="1"/>
        <item x="2"/>
        <item x="3"/>
        <item t="default"/>
      </items>
    </pivotField>
    <pivotField showAll="0"/>
    <pivotField showAll="0"/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Coun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8C402-C3AD-469F-A121-5CA8CFDC4DF2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L23:AQ38" firstHeaderRow="1" firstDataRow="2" firstDataCol="1"/>
  <pivotFields count="4">
    <pivotField axis="axisRow" showAll="0" sortType="ascending">
      <items count="14">
        <item x="4"/>
        <item x="5"/>
        <item x="6"/>
        <item x="7"/>
        <item x="8"/>
        <item x="9"/>
        <item x="11"/>
        <item x="12"/>
        <item x="10"/>
        <item x="0"/>
        <item x="1"/>
        <item x="2"/>
        <item x="3"/>
        <item t="default"/>
      </items>
    </pivotField>
    <pivotField showAll="0">
      <items count="3">
        <item x="1"/>
        <item x="0"/>
        <item t="default"/>
      </items>
    </pivotField>
    <pivotField axis="axisCol" multipleItemSelectionAllowed="1" showAll="0">
      <items count="6">
        <item x="0"/>
        <item h="1" x="4"/>
        <item x="3"/>
        <item x="2"/>
        <item x="1"/>
        <item t="default"/>
      </items>
    </pivotField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5">
    <i>
      <x/>
    </i>
    <i>
      <x v="2"/>
    </i>
    <i>
      <x v="3"/>
    </i>
    <i>
      <x v="4"/>
    </i>
    <i t="grand">
      <x/>
    </i>
  </colItems>
  <dataFields count="1">
    <dataField name="Sum of Count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4DF58E-AA17-4F1A-BE53-15E1F309D107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Y22:AB37" firstHeaderRow="1" firstDataRow="2" firstDataCol="1" rowPageCount="1" colPageCount="1"/>
  <pivotFields count="4">
    <pivotField axis="axisRow" showAll="0" sortType="ascending">
      <items count="14">
        <item x="11"/>
        <item x="12"/>
        <item x="4"/>
        <item x="5"/>
        <item x="6"/>
        <item x="7"/>
        <item x="8"/>
        <item x="9"/>
        <item x="10"/>
        <item x="0"/>
        <item x="1"/>
        <item x="2"/>
        <item x="3"/>
        <item t="default"/>
      </items>
    </pivotField>
    <pivotField axis="axisCol" showAll="0">
      <items count="3">
        <item x="1"/>
        <item x="0"/>
        <item t="default"/>
      </items>
    </pivotField>
    <pivotField axis="axisPage" multipleItemSelectionAllowed="1" showAll="0">
      <items count="6">
        <item x="0"/>
        <item h="1" x="4"/>
        <item h="1" x="3"/>
        <item h="1" x="2"/>
        <item h="1" x="1"/>
        <item t="default"/>
      </items>
    </pivotField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2" hier="-1"/>
  </pageFields>
  <dataFields count="1">
    <dataField name="Sum of Count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C0012-9D34-4745-A72D-8C30E237A37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Y3:AB18" firstHeaderRow="1" firstDataRow="2" firstDataCol="1"/>
  <pivotFields count="4">
    <pivotField axis="axisRow" showAll="0" sortType="ascending">
      <items count="14">
        <item x="4"/>
        <item x="5"/>
        <item x="6"/>
        <item x="7"/>
        <item x="8"/>
        <item x="9"/>
        <item x="10"/>
        <item x="0"/>
        <item x="1"/>
        <item x="2"/>
        <item x="3"/>
        <item x="11"/>
        <item x="12"/>
        <item t="default"/>
      </items>
    </pivotField>
    <pivotField showAll="0">
      <items count="3">
        <item x="1"/>
        <item x="0"/>
        <item t="default"/>
      </items>
    </pivotField>
    <pivotField axis="axisCol" multipleItemSelectionAllowed="1" showAll="0">
      <items count="6">
        <item x="0"/>
        <item h="1" x="4"/>
        <item h="1" x="3"/>
        <item h="1" x="2"/>
        <item x="1"/>
        <item t="default"/>
      </items>
    </pivotField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3">
    <i>
      <x/>
    </i>
    <i>
      <x v="4"/>
    </i>
    <i t="grand">
      <x/>
    </i>
  </colItems>
  <dataFields count="1">
    <dataField name="Sum of Count" fld="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3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0C884-F41C-4A0E-B6BA-242D64545526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L3:AO18" firstHeaderRow="1" firstDataRow="2" firstDataCol="1"/>
  <pivotFields count="4">
    <pivotField axis="axisRow" showAll="0" sortType="ascending">
      <items count="14">
        <item x="4"/>
        <item x="5"/>
        <item x="6"/>
        <item x="7"/>
        <item x="8"/>
        <item x="9"/>
        <item x="10"/>
        <item x="0"/>
        <item x="1"/>
        <item x="2"/>
        <item x="3"/>
        <item x="11"/>
        <item x="12"/>
        <item t="default"/>
      </items>
    </pivotField>
    <pivotField showAll="0">
      <items count="3">
        <item x="1"/>
        <item x="0"/>
        <item t="default"/>
      </items>
    </pivotField>
    <pivotField axis="axisCol" showAll="0">
      <items count="6">
        <item x="0"/>
        <item x="4"/>
        <item h="1" x="3"/>
        <item h="1" x="2"/>
        <item h="1" x="1"/>
        <item t="default"/>
      </items>
    </pivotField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Count" fld="3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3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E2352-B64F-4BD5-BAF3-EB5DB406999E}">
  <dimension ref="B1:O38"/>
  <sheetViews>
    <sheetView workbookViewId="0">
      <selection activeCell="N4" sqref="N4"/>
    </sheetView>
  </sheetViews>
  <sheetFormatPr defaultRowHeight="14.4"/>
  <sheetData>
    <row r="1" spans="2:15" ht="34.200000000000003" thickBot="1">
      <c r="B1" s="11" t="s">
        <v>38</v>
      </c>
      <c r="L1" s="8" t="s">
        <v>57</v>
      </c>
    </row>
    <row r="2" spans="2:15" ht="46.2" customHeight="1" thickBot="1">
      <c r="B2" s="13" t="s">
        <v>26</v>
      </c>
      <c r="C2" s="4" t="s">
        <v>43</v>
      </c>
      <c r="D2" s="4" t="s">
        <v>44</v>
      </c>
      <c r="E2" s="4" t="s">
        <v>45</v>
      </c>
      <c r="F2" s="4" t="s">
        <v>46</v>
      </c>
      <c r="G2" s="4" t="s">
        <v>47</v>
      </c>
      <c r="H2" s="4">
        <v>9</v>
      </c>
      <c r="L2" s="15" t="s">
        <v>48</v>
      </c>
      <c r="M2" s="15" t="s">
        <v>49</v>
      </c>
      <c r="N2" s="15" t="s">
        <v>50</v>
      </c>
      <c r="O2" s="15" t="s">
        <v>51</v>
      </c>
    </row>
    <row r="3" spans="2:15" ht="31.8" thickBot="1">
      <c r="B3" s="14"/>
      <c r="C3" s="5" t="s">
        <v>30</v>
      </c>
      <c r="D3" s="5" t="s">
        <v>6</v>
      </c>
      <c r="E3" s="5" t="s">
        <v>30</v>
      </c>
      <c r="F3" s="5" t="s">
        <v>6</v>
      </c>
      <c r="G3" s="5" t="s">
        <v>30</v>
      </c>
      <c r="H3" s="5" t="s">
        <v>6</v>
      </c>
      <c r="L3" s="15" t="s">
        <v>27</v>
      </c>
      <c r="M3" s="15" t="s">
        <v>30</v>
      </c>
      <c r="N3" s="15" t="s">
        <v>31</v>
      </c>
      <c r="O3" s="15">
        <v>43</v>
      </c>
    </row>
    <row r="4" spans="2:15" ht="28.2" thickBot="1">
      <c r="B4" s="5" t="s">
        <v>31</v>
      </c>
      <c r="C4" s="3">
        <v>43</v>
      </c>
      <c r="D4" s="3">
        <v>11</v>
      </c>
      <c r="E4" s="3">
        <v>41</v>
      </c>
      <c r="F4" s="3">
        <v>12</v>
      </c>
      <c r="G4" s="3">
        <v>48</v>
      </c>
      <c r="H4" s="3">
        <v>16</v>
      </c>
      <c r="L4" s="15" t="s">
        <v>27</v>
      </c>
      <c r="M4" s="15" t="s">
        <v>6</v>
      </c>
      <c r="N4" s="15" t="s">
        <v>31</v>
      </c>
      <c r="O4" s="15">
        <v>11</v>
      </c>
    </row>
    <row r="5" spans="2:15" ht="31.8" thickBot="1">
      <c r="B5" s="5" t="s">
        <v>32</v>
      </c>
      <c r="C5" s="3">
        <v>43</v>
      </c>
      <c r="D5" s="3">
        <v>14</v>
      </c>
      <c r="E5" s="3">
        <v>50</v>
      </c>
      <c r="F5" s="3">
        <v>13</v>
      </c>
      <c r="G5" s="3">
        <v>43</v>
      </c>
      <c r="H5" s="3">
        <v>8</v>
      </c>
      <c r="L5" s="15" t="s">
        <v>28</v>
      </c>
      <c r="M5" s="15" t="s">
        <v>30</v>
      </c>
      <c r="N5" s="15" t="s">
        <v>31</v>
      </c>
      <c r="O5" s="15">
        <v>41</v>
      </c>
    </row>
    <row r="6" spans="2:15" ht="31.8" thickBot="1">
      <c r="B6" s="5" t="s">
        <v>33</v>
      </c>
      <c r="C6" s="3">
        <v>41</v>
      </c>
      <c r="D6" s="3">
        <v>7</v>
      </c>
      <c r="E6" s="3">
        <v>37</v>
      </c>
      <c r="F6" s="3">
        <v>6</v>
      </c>
      <c r="G6" s="3">
        <v>39</v>
      </c>
      <c r="H6" s="3">
        <v>3</v>
      </c>
      <c r="L6" s="15" t="s">
        <v>28</v>
      </c>
      <c r="M6" s="15" t="s">
        <v>6</v>
      </c>
      <c r="N6" s="15" t="s">
        <v>31</v>
      </c>
      <c r="O6" s="15">
        <v>12</v>
      </c>
    </row>
    <row r="7" spans="2:15" ht="31.8" thickBot="1">
      <c r="B7" s="5" t="s">
        <v>34</v>
      </c>
      <c r="C7" s="3">
        <v>26</v>
      </c>
      <c r="D7" s="3">
        <v>2</v>
      </c>
      <c r="E7" s="3">
        <v>30</v>
      </c>
      <c r="F7" s="3">
        <v>2</v>
      </c>
      <c r="G7" s="3">
        <v>33</v>
      </c>
      <c r="H7" s="3">
        <v>1</v>
      </c>
      <c r="L7" s="15" t="s">
        <v>29</v>
      </c>
      <c r="M7" s="15" t="s">
        <v>30</v>
      </c>
      <c r="N7" s="15" t="s">
        <v>31</v>
      </c>
      <c r="O7" s="15">
        <v>48</v>
      </c>
    </row>
    <row r="8" spans="2:15" ht="31.8" thickBot="1">
      <c r="B8" s="5" t="s">
        <v>35</v>
      </c>
      <c r="C8" s="3">
        <v>10</v>
      </c>
      <c r="D8" s="3">
        <v>1</v>
      </c>
      <c r="E8" s="3">
        <v>12</v>
      </c>
      <c r="F8" s="3" t="s">
        <v>0</v>
      </c>
      <c r="G8" s="3">
        <v>18</v>
      </c>
      <c r="H8" s="3" t="s">
        <v>0</v>
      </c>
      <c r="L8" s="15" t="s">
        <v>29</v>
      </c>
      <c r="M8" s="15" t="s">
        <v>6</v>
      </c>
      <c r="N8" s="15" t="s">
        <v>31</v>
      </c>
      <c r="O8" s="15">
        <v>16</v>
      </c>
    </row>
    <row r="9" spans="2:15" ht="47.4" thickBot="1">
      <c r="B9" s="5" t="s">
        <v>36</v>
      </c>
      <c r="C9" s="3">
        <v>32</v>
      </c>
      <c r="D9" s="3" t="s">
        <v>0</v>
      </c>
      <c r="E9" s="3">
        <v>31</v>
      </c>
      <c r="F9" s="3" t="s">
        <v>0</v>
      </c>
      <c r="G9" s="3">
        <v>28</v>
      </c>
      <c r="H9" s="3" t="s">
        <v>0</v>
      </c>
      <c r="L9" s="15" t="s">
        <v>27</v>
      </c>
      <c r="M9" s="15" t="s">
        <v>30</v>
      </c>
      <c r="N9" s="15" t="s">
        <v>39</v>
      </c>
      <c r="O9" s="15">
        <v>43</v>
      </c>
    </row>
    <row r="10" spans="2:15" ht="42" thickBot="1">
      <c r="B10" s="12" t="s">
        <v>37</v>
      </c>
      <c r="C10" s="3">
        <v>195</v>
      </c>
      <c r="D10" s="3">
        <v>35</v>
      </c>
      <c r="E10" s="3">
        <v>201</v>
      </c>
      <c r="F10" s="3">
        <v>33</v>
      </c>
      <c r="G10" s="3">
        <v>209</v>
      </c>
      <c r="H10" s="3">
        <v>28</v>
      </c>
      <c r="L10" s="15" t="s">
        <v>27</v>
      </c>
      <c r="M10" s="15" t="s">
        <v>6</v>
      </c>
      <c r="N10" s="15" t="s">
        <v>39</v>
      </c>
      <c r="O10" s="15">
        <v>14</v>
      </c>
    </row>
    <row r="11" spans="2:15" ht="42" thickBot="1">
      <c r="L11" s="15" t="s">
        <v>28</v>
      </c>
      <c r="M11" s="15" t="s">
        <v>30</v>
      </c>
      <c r="N11" s="15" t="s">
        <v>39</v>
      </c>
      <c r="O11" s="15">
        <v>50</v>
      </c>
    </row>
    <row r="12" spans="2:15" ht="42" thickBot="1">
      <c r="L12" s="15" t="s">
        <v>28</v>
      </c>
      <c r="M12" s="15" t="s">
        <v>6</v>
      </c>
      <c r="N12" s="15" t="s">
        <v>39</v>
      </c>
      <c r="O12" s="15">
        <v>13</v>
      </c>
    </row>
    <row r="13" spans="2:15" ht="42" thickBot="1">
      <c r="L13" s="15" t="s">
        <v>29</v>
      </c>
      <c r="M13" s="15" t="s">
        <v>30</v>
      </c>
      <c r="N13" s="15" t="s">
        <v>39</v>
      </c>
      <c r="O13" s="15">
        <v>43</v>
      </c>
    </row>
    <row r="14" spans="2:15" ht="42" thickBot="1">
      <c r="L14" s="15" t="s">
        <v>29</v>
      </c>
      <c r="M14" s="15" t="s">
        <v>6</v>
      </c>
      <c r="N14" s="15" t="s">
        <v>39</v>
      </c>
      <c r="O14" s="15">
        <v>8</v>
      </c>
    </row>
    <row r="15" spans="2:15" ht="42" thickBot="1">
      <c r="L15" s="15" t="s">
        <v>27</v>
      </c>
      <c r="M15" s="15" t="s">
        <v>30</v>
      </c>
      <c r="N15" s="15" t="s">
        <v>40</v>
      </c>
      <c r="O15" s="15">
        <v>41</v>
      </c>
    </row>
    <row r="16" spans="2:15" ht="42" thickBot="1">
      <c r="L16" s="15" t="s">
        <v>27</v>
      </c>
      <c r="M16" s="15" t="s">
        <v>6</v>
      </c>
      <c r="N16" s="15" t="s">
        <v>40</v>
      </c>
      <c r="O16" s="15">
        <v>7</v>
      </c>
    </row>
    <row r="17" spans="12:15" ht="42" thickBot="1">
      <c r="L17" s="15" t="s">
        <v>28</v>
      </c>
      <c r="M17" s="15" t="s">
        <v>30</v>
      </c>
      <c r="N17" s="15" t="s">
        <v>40</v>
      </c>
      <c r="O17" s="15">
        <v>37</v>
      </c>
    </row>
    <row r="18" spans="12:15" ht="42" thickBot="1">
      <c r="L18" s="15" t="s">
        <v>28</v>
      </c>
      <c r="M18" s="15" t="s">
        <v>6</v>
      </c>
      <c r="N18" s="15" t="s">
        <v>40</v>
      </c>
      <c r="O18" s="15">
        <v>6</v>
      </c>
    </row>
    <row r="19" spans="12:15" ht="42" thickBot="1">
      <c r="L19" s="15" t="s">
        <v>29</v>
      </c>
      <c r="M19" s="15" t="s">
        <v>30</v>
      </c>
      <c r="N19" s="15" t="s">
        <v>40</v>
      </c>
      <c r="O19" s="15">
        <v>39</v>
      </c>
    </row>
    <row r="20" spans="12:15" ht="42" thickBot="1">
      <c r="L20" s="15" t="s">
        <v>29</v>
      </c>
      <c r="M20" s="15" t="s">
        <v>6</v>
      </c>
      <c r="N20" s="15" t="s">
        <v>40</v>
      </c>
      <c r="O20" s="15">
        <v>3</v>
      </c>
    </row>
    <row r="21" spans="12:15" ht="42" thickBot="1">
      <c r="L21" s="15" t="s">
        <v>27</v>
      </c>
      <c r="M21" s="15" t="s">
        <v>30</v>
      </c>
      <c r="N21" s="15" t="s">
        <v>41</v>
      </c>
      <c r="O21" s="15">
        <v>26</v>
      </c>
    </row>
    <row r="22" spans="12:15" ht="42" thickBot="1">
      <c r="L22" s="15" t="s">
        <v>27</v>
      </c>
      <c r="M22" s="15" t="s">
        <v>6</v>
      </c>
      <c r="N22" s="15" t="s">
        <v>41</v>
      </c>
      <c r="O22" s="15">
        <v>2</v>
      </c>
    </row>
    <row r="23" spans="12:15" ht="42" thickBot="1">
      <c r="L23" s="15" t="s">
        <v>28</v>
      </c>
      <c r="M23" s="15" t="s">
        <v>30</v>
      </c>
      <c r="N23" s="15" t="s">
        <v>41</v>
      </c>
      <c r="O23" s="15">
        <v>30</v>
      </c>
    </row>
    <row r="24" spans="12:15" ht="42" thickBot="1">
      <c r="L24" s="15" t="s">
        <v>28</v>
      </c>
      <c r="M24" s="15" t="s">
        <v>6</v>
      </c>
      <c r="N24" s="15" t="s">
        <v>41</v>
      </c>
      <c r="O24" s="15">
        <v>2</v>
      </c>
    </row>
    <row r="25" spans="12:15" ht="42" thickBot="1">
      <c r="L25" s="15" t="s">
        <v>29</v>
      </c>
      <c r="M25" s="15" t="s">
        <v>30</v>
      </c>
      <c r="N25" s="15" t="s">
        <v>41</v>
      </c>
      <c r="O25" s="15">
        <v>33</v>
      </c>
    </row>
    <row r="26" spans="12:15" ht="42" thickBot="1">
      <c r="L26" s="15" t="s">
        <v>29</v>
      </c>
      <c r="M26" s="15" t="s">
        <v>6</v>
      </c>
      <c r="N26" s="15" t="s">
        <v>41</v>
      </c>
      <c r="O26" s="15">
        <v>1</v>
      </c>
    </row>
    <row r="27" spans="12:15" ht="42" thickBot="1">
      <c r="L27" s="15" t="s">
        <v>27</v>
      </c>
      <c r="M27" s="15" t="s">
        <v>30</v>
      </c>
      <c r="N27" s="15" t="s">
        <v>42</v>
      </c>
      <c r="O27" s="15">
        <v>10</v>
      </c>
    </row>
    <row r="28" spans="12:15" ht="42" thickBot="1">
      <c r="L28" s="15" t="s">
        <v>27</v>
      </c>
      <c r="M28" s="15" t="s">
        <v>6</v>
      </c>
      <c r="N28" s="15" t="s">
        <v>42</v>
      </c>
      <c r="O28" s="15">
        <v>1</v>
      </c>
    </row>
    <row r="29" spans="12:15" ht="42" thickBot="1">
      <c r="L29" s="15" t="s">
        <v>28</v>
      </c>
      <c r="M29" s="15" t="s">
        <v>30</v>
      </c>
      <c r="N29" s="15" t="s">
        <v>42</v>
      </c>
      <c r="O29" s="15">
        <v>12</v>
      </c>
    </row>
    <row r="30" spans="12:15" ht="42" thickBot="1">
      <c r="L30" s="15" t="s">
        <v>28</v>
      </c>
      <c r="M30" s="15" t="s">
        <v>6</v>
      </c>
      <c r="N30" s="15" t="s">
        <v>42</v>
      </c>
      <c r="O30" s="15">
        <v>0</v>
      </c>
    </row>
    <row r="31" spans="12:15" ht="42" thickBot="1">
      <c r="L31" s="15" t="s">
        <v>29</v>
      </c>
      <c r="M31" s="15" t="s">
        <v>30</v>
      </c>
      <c r="N31" s="15" t="s">
        <v>42</v>
      </c>
      <c r="O31" s="15">
        <v>18</v>
      </c>
    </row>
    <row r="32" spans="12:15" ht="42" thickBot="1">
      <c r="L32" s="15" t="s">
        <v>29</v>
      </c>
      <c r="M32" s="15" t="s">
        <v>6</v>
      </c>
      <c r="N32" s="15" t="s">
        <v>42</v>
      </c>
      <c r="O32" s="15">
        <v>0</v>
      </c>
    </row>
    <row r="33" spans="12:15" ht="42" thickBot="1">
      <c r="L33" s="15" t="s">
        <v>27</v>
      </c>
      <c r="M33" s="15" t="s">
        <v>30</v>
      </c>
      <c r="N33" s="15" t="s">
        <v>36</v>
      </c>
      <c r="O33" s="15">
        <v>32</v>
      </c>
    </row>
    <row r="34" spans="12:15" ht="42" thickBot="1">
      <c r="L34" s="15" t="s">
        <v>27</v>
      </c>
      <c r="M34" s="15" t="s">
        <v>6</v>
      </c>
      <c r="N34" s="15" t="s">
        <v>36</v>
      </c>
      <c r="O34" s="15">
        <v>0</v>
      </c>
    </row>
    <row r="35" spans="12:15" ht="42" thickBot="1">
      <c r="L35" s="15" t="s">
        <v>28</v>
      </c>
      <c r="M35" s="15" t="s">
        <v>30</v>
      </c>
      <c r="N35" s="15" t="s">
        <v>36</v>
      </c>
      <c r="O35" s="15">
        <v>31</v>
      </c>
    </row>
    <row r="36" spans="12:15" ht="42" thickBot="1">
      <c r="L36" s="15" t="s">
        <v>28</v>
      </c>
      <c r="M36" s="15" t="s">
        <v>6</v>
      </c>
      <c r="N36" s="15" t="s">
        <v>36</v>
      </c>
      <c r="O36" s="15">
        <v>0</v>
      </c>
    </row>
    <row r="37" spans="12:15" ht="42" thickBot="1">
      <c r="L37" s="15" t="s">
        <v>29</v>
      </c>
      <c r="M37" s="15" t="s">
        <v>30</v>
      </c>
      <c r="N37" s="15" t="s">
        <v>36</v>
      </c>
      <c r="O37" s="15">
        <v>28</v>
      </c>
    </row>
    <row r="38" spans="12:15" ht="42" thickBot="1">
      <c r="L38" s="15" t="s">
        <v>29</v>
      </c>
      <c r="M38" s="15" t="s">
        <v>6</v>
      </c>
      <c r="N38" s="15" t="s">
        <v>36</v>
      </c>
      <c r="O38" s="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A9587-5527-4CA4-AC40-B2AB7BDC1020}">
  <dimension ref="A1:X17"/>
  <sheetViews>
    <sheetView showGridLines="0" tabSelected="1" zoomScaleNormal="100" workbookViewId="0">
      <selection activeCell="J25" sqref="J25"/>
    </sheetView>
  </sheetViews>
  <sheetFormatPr defaultRowHeight="14.4"/>
  <cols>
    <col min="1" max="1" width="15.109375" bestFit="1" customWidth="1"/>
    <col min="2" max="2" width="19.21875" bestFit="1" customWidth="1"/>
    <col min="3" max="3" width="16.109375" bestFit="1" customWidth="1"/>
    <col min="5" max="5" width="12.5546875" bestFit="1" customWidth="1"/>
    <col min="6" max="6" width="19.21875" bestFit="1" customWidth="1"/>
    <col min="9" max="9" width="15.77734375" bestFit="1" customWidth="1"/>
    <col min="10" max="10" width="19.21875" bestFit="1" customWidth="1"/>
    <col min="13" max="13" width="10.6640625" customWidth="1"/>
    <col min="18" max="18" width="12.5546875" bestFit="1" customWidth="1"/>
    <col min="19" max="19" width="19.21875" bestFit="1" customWidth="1"/>
    <col min="23" max="23" width="15.109375" bestFit="1" customWidth="1"/>
    <col min="24" max="24" width="19.21875" bestFit="1" customWidth="1"/>
  </cols>
  <sheetData>
    <row r="1" spans="1:24">
      <c r="A1" s="9" t="s">
        <v>23</v>
      </c>
      <c r="B1" t="s">
        <v>52</v>
      </c>
      <c r="I1" s="9" t="s">
        <v>50</v>
      </c>
      <c r="J1" t="s">
        <v>25</v>
      </c>
    </row>
    <row r="2" spans="1:24">
      <c r="A2" s="10" t="s">
        <v>31</v>
      </c>
      <c r="B2">
        <v>171</v>
      </c>
      <c r="E2" s="9" t="s">
        <v>23</v>
      </c>
      <c r="F2" t="s">
        <v>52</v>
      </c>
    </row>
    <row r="3" spans="1:24">
      <c r="A3" s="10" t="s">
        <v>39</v>
      </c>
      <c r="B3">
        <v>171</v>
      </c>
      <c r="E3" s="10" t="s">
        <v>29</v>
      </c>
      <c r="F3">
        <v>237</v>
      </c>
      <c r="I3" s="9" t="s">
        <v>23</v>
      </c>
      <c r="J3" t="s">
        <v>52</v>
      </c>
      <c r="R3" s="9" t="s">
        <v>48</v>
      </c>
      <c r="S3" t="s">
        <v>27</v>
      </c>
      <c r="W3" s="9" t="s">
        <v>48</v>
      </c>
      <c r="X3" t="s">
        <v>27</v>
      </c>
    </row>
    <row r="4" spans="1:24">
      <c r="A4" s="10" t="s">
        <v>40</v>
      </c>
      <c r="B4">
        <v>133</v>
      </c>
      <c r="E4" s="10" t="s">
        <v>28</v>
      </c>
      <c r="F4">
        <v>234</v>
      </c>
      <c r="I4" s="10" t="s">
        <v>29</v>
      </c>
      <c r="J4">
        <v>80</v>
      </c>
    </row>
    <row r="5" spans="1:24">
      <c r="A5" s="10" t="s">
        <v>41</v>
      </c>
      <c r="B5">
        <v>94</v>
      </c>
      <c r="E5" s="10" t="s">
        <v>27</v>
      </c>
      <c r="F5">
        <v>230</v>
      </c>
      <c r="I5" s="10" t="s">
        <v>28</v>
      </c>
      <c r="J5">
        <v>75</v>
      </c>
      <c r="R5" s="9" t="s">
        <v>23</v>
      </c>
      <c r="S5" t="s">
        <v>52</v>
      </c>
      <c r="W5" s="9" t="s">
        <v>23</v>
      </c>
      <c r="X5" t="s">
        <v>52</v>
      </c>
    </row>
    <row r="6" spans="1:24">
      <c r="A6" s="10" t="s">
        <v>42</v>
      </c>
      <c r="B6">
        <v>41</v>
      </c>
      <c r="E6" s="10" t="s">
        <v>24</v>
      </c>
      <c r="F6">
        <v>701</v>
      </c>
      <c r="I6" s="10" t="s">
        <v>27</v>
      </c>
      <c r="J6">
        <v>71</v>
      </c>
      <c r="R6" s="10" t="s">
        <v>6</v>
      </c>
      <c r="S6">
        <v>35</v>
      </c>
      <c r="W6" s="10" t="s">
        <v>31</v>
      </c>
      <c r="X6">
        <v>54</v>
      </c>
    </row>
    <row r="7" spans="1:24">
      <c r="A7" s="10" t="s">
        <v>36</v>
      </c>
      <c r="B7">
        <v>91</v>
      </c>
      <c r="F7" s="16">
        <f>(F5-F4)/F4</f>
        <v>-1.7094017094017096E-2</v>
      </c>
      <c r="I7" s="10" t="s">
        <v>24</v>
      </c>
      <c r="J7">
        <v>226</v>
      </c>
      <c r="R7" s="10" t="s">
        <v>30</v>
      </c>
      <c r="S7">
        <v>195</v>
      </c>
      <c r="W7" s="10" t="s">
        <v>39</v>
      </c>
      <c r="X7">
        <v>57</v>
      </c>
    </row>
    <row r="8" spans="1:24">
      <c r="A8" s="10" t="s">
        <v>24</v>
      </c>
      <c r="B8">
        <v>701</v>
      </c>
      <c r="R8" s="10" t="s">
        <v>24</v>
      </c>
      <c r="S8">
        <v>230</v>
      </c>
      <c r="W8" s="10" t="s">
        <v>40</v>
      </c>
      <c r="X8">
        <v>48</v>
      </c>
    </row>
    <row r="9" spans="1:24">
      <c r="S9" s="16">
        <f>GETPIVOTDATA("Patient Count",$R$5,"Location","Gurgaon")/GETPIVOTDATA("Patient Count",$R$5)</f>
        <v>0.84782608695652173</v>
      </c>
      <c r="W9" s="10" t="s">
        <v>41</v>
      </c>
      <c r="X9">
        <v>28</v>
      </c>
    </row>
    <row r="10" spans="1:24">
      <c r="W10" s="10" t="s">
        <v>42</v>
      </c>
      <c r="X10">
        <v>11</v>
      </c>
    </row>
    <row r="11" spans="1:24">
      <c r="W11" s="10" t="s">
        <v>36</v>
      </c>
      <c r="X11">
        <v>32</v>
      </c>
    </row>
    <row r="12" spans="1:24">
      <c r="R12" s="9" t="s">
        <v>48</v>
      </c>
      <c r="S12" t="s">
        <v>27</v>
      </c>
      <c r="W12" s="10" t="s">
        <v>24</v>
      </c>
      <c r="X12">
        <v>230</v>
      </c>
    </row>
    <row r="13" spans="1:24">
      <c r="X13" s="16">
        <f>GETPIVOTDATA("Patient Count",$W$5,"Longevity Analysis","1 month")/GETPIVOTDATA("Patient Count",$W$5)</f>
        <v>0.23478260869565218</v>
      </c>
    </row>
    <row r="14" spans="1:24">
      <c r="R14" s="9" t="s">
        <v>23</v>
      </c>
      <c r="S14" t="s">
        <v>52</v>
      </c>
    </row>
    <row r="15" spans="1:24">
      <c r="R15" s="10" t="s">
        <v>6</v>
      </c>
      <c r="S15">
        <v>35</v>
      </c>
    </row>
    <row r="16" spans="1:24">
      <c r="R16" s="10" t="s">
        <v>30</v>
      </c>
      <c r="S16">
        <v>195</v>
      </c>
    </row>
    <row r="17" spans="18:19">
      <c r="R17" s="10" t="s">
        <v>24</v>
      </c>
      <c r="S17">
        <v>230</v>
      </c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CEB07-0DE3-421E-B163-4DD35962F6A2}">
  <dimension ref="A1:Q132"/>
  <sheetViews>
    <sheetView workbookViewId="0">
      <selection activeCell="P3" sqref="P3"/>
    </sheetView>
  </sheetViews>
  <sheetFormatPr defaultRowHeight="14.4"/>
  <cols>
    <col min="1" max="1" width="15.5546875" customWidth="1"/>
    <col min="14" max="14" width="13.21875" bestFit="1" customWidth="1"/>
    <col min="15" max="15" width="10.6640625" bestFit="1" customWidth="1"/>
    <col min="16" max="16" width="15.88671875" bestFit="1" customWidth="1"/>
  </cols>
  <sheetData>
    <row r="1" spans="1:17" s="8" customFormat="1" ht="34.200000000000003" thickBot="1">
      <c r="A1" s="6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N1" s="8" t="s">
        <v>57</v>
      </c>
    </row>
    <row r="2" spans="1:17" ht="16.2" customHeight="1" thickBot="1">
      <c r="A2" s="19" t="s">
        <v>4</v>
      </c>
      <c r="B2" s="21" t="s">
        <v>5</v>
      </c>
      <c r="C2" s="22"/>
      <c r="D2" s="22"/>
      <c r="E2" s="22"/>
      <c r="F2" s="23"/>
      <c r="G2" s="21" t="s">
        <v>6</v>
      </c>
      <c r="H2" s="22"/>
      <c r="I2" s="22"/>
      <c r="J2" s="22"/>
      <c r="K2" s="23"/>
      <c r="N2" s="17" t="s">
        <v>48</v>
      </c>
      <c r="O2" s="17" t="s">
        <v>49</v>
      </c>
      <c r="P2" s="17" t="s">
        <v>53</v>
      </c>
      <c r="Q2" s="17" t="s">
        <v>54</v>
      </c>
    </row>
    <row r="3" spans="1:17" ht="31.8" thickBot="1">
      <c r="A3" s="20"/>
      <c r="B3" s="2" t="s">
        <v>1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</v>
      </c>
      <c r="H3" s="2" t="s">
        <v>7</v>
      </c>
      <c r="I3" s="2" t="s">
        <v>8</v>
      </c>
      <c r="J3" s="2" t="s">
        <v>9</v>
      </c>
      <c r="K3" s="2" t="s">
        <v>10</v>
      </c>
      <c r="N3" s="17" t="s">
        <v>2</v>
      </c>
      <c r="O3" s="17" t="s">
        <v>30</v>
      </c>
      <c r="P3" s="17" t="s">
        <v>1</v>
      </c>
      <c r="Q3" s="17">
        <v>275</v>
      </c>
    </row>
    <row r="4" spans="1:17" ht="16.2" thickBot="1">
      <c r="A4" s="5" t="s">
        <v>2</v>
      </c>
      <c r="B4" s="3">
        <v>275</v>
      </c>
      <c r="C4" s="3">
        <v>170</v>
      </c>
      <c r="D4" s="1">
        <v>18</v>
      </c>
      <c r="E4" s="1">
        <v>73</v>
      </c>
      <c r="F4" s="3">
        <v>76</v>
      </c>
      <c r="G4" s="3">
        <v>4</v>
      </c>
      <c r="H4" s="3">
        <v>1</v>
      </c>
      <c r="I4" s="3" t="s">
        <v>0</v>
      </c>
      <c r="J4" s="3">
        <v>3</v>
      </c>
      <c r="K4" s="3">
        <v>5</v>
      </c>
      <c r="N4" s="17" t="s">
        <v>2</v>
      </c>
      <c r="O4" s="17" t="s">
        <v>30</v>
      </c>
      <c r="P4" s="17" t="s">
        <v>7</v>
      </c>
      <c r="Q4" s="17">
        <v>170</v>
      </c>
    </row>
    <row r="5" spans="1:17" ht="16.2" thickBot="1">
      <c r="A5" s="5" t="s">
        <v>11</v>
      </c>
      <c r="B5" s="3">
        <v>245</v>
      </c>
      <c r="C5" s="3">
        <v>155</v>
      </c>
      <c r="D5" s="1">
        <v>17</v>
      </c>
      <c r="E5" s="1">
        <v>69</v>
      </c>
      <c r="F5" s="3">
        <v>110</v>
      </c>
      <c r="G5" s="3">
        <v>9</v>
      </c>
      <c r="H5" s="3">
        <v>3</v>
      </c>
      <c r="I5" s="3" t="s">
        <v>0</v>
      </c>
      <c r="J5" s="3">
        <v>6</v>
      </c>
      <c r="K5" s="3">
        <v>1</v>
      </c>
      <c r="N5" s="17" t="s">
        <v>2</v>
      </c>
      <c r="O5" s="17" t="s">
        <v>30</v>
      </c>
      <c r="P5" s="17" t="s">
        <v>8</v>
      </c>
      <c r="Q5" s="17">
        <v>18</v>
      </c>
    </row>
    <row r="6" spans="1:17" ht="16.2" thickBot="1">
      <c r="A6" s="5" t="s">
        <v>12</v>
      </c>
      <c r="B6" s="3">
        <v>250</v>
      </c>
      <c r="C6" s="3">
        <v>178</v>
      </c>
      <c r="D6" s="1">
        <v>30</v>
      </c>
      <c r="E6" s="1">
        <v>66</v>
      </c>
      <c r="F6" s="3">
        <v>85</v>
      </c>
      <c r="G6" s="3">
        <v>16</v>
      </c>
      <c r="H6" s="3">
        <v>6</v>
      </c>
      <c r="I6" s="3" t="s">
        <v>0</v>
      </c>
      <c r="J6" s="3">
        <v>10</v>
      </c>
      <c r="K6" s="3">
        <v>2</v>
      </c>
      <c r="N6" s="17" t="s">
        <v>2</v>
      </c>
      <c r="O6" s="17" t="s">
        <v>30</v>
      </c>
      <c r="P6" s="17" t="s">
        <v>55</v>
      </c>
      <c r="Q6" s="17">
        <v>73</v>
      </c>
    </row>
    <row r="7" spans="1:17" ht="16.2" thickBot="1">
      <c r="A7" s="5" t="s">
        <v>13</v>
      </c>
      <c r="B7" s="3">
        <v>260</v>
      </c>
      <c r="C7" s="3">
        <v>159</v>
      </c>
      <c r="D7" s="1">
        <v>28</v>
      </c>
      <c r="E7" s="1">
        <v>81</v>
      </c>
      <c r="F7" s="3">
        <v>81</v>
      </c>
      <c r="G7" s="3">
        <v>24</v>
      </c>
      <c r="H7" s="3">
        <v>10</v>
      </c>
      <c r="I7" s="3">
        <v>1</v>
      </c>
      <c r="J7" s="3">
        <v>15</v>
      </c>
      <c r="K7" s="3">
        <v>10</v>
      </c>
      <c r="N7" s="17" t="s">
        <v>2</v>
      </c>
      <c r="O7" s="17" t="s">
        <v>30</v>
      </c>
      <c r="P7" s="17" t="s">
        <v>56</v>
      </c>
      <c r="Q7" s="17">
        <v>76</v>
      </c>
    </row>
    <row r="8" spans="1:17" ht="16.2" thickBot="1">
      <c r="A8" s="5" t="s">
        <v>14</v>
      </c>
      <c r="B8" s="3">
        <v>244</v>
      </c>
      <c r="C8" s="3">
        <v>141</v>
      </c>
      <c r="D8" s="1">
        <v>18</v>
      </c>
      <c r="E8" s="1">
        <v>63</v>
      </c>
      <c r="F8" s="3">
        <v>92</v>
      </c>
      <c r="G8" s="3">
        <v>28</v>
      </c>
      <c r="H8" s="3">
        <v>12</v>
      </c>
      <c r="I8" s="3">
        <v>1</v>
      </c>
      <c r="J8" s="3">
        <v>16</v>
      </c>
      <c r="K8" s="3">
        <v>14</v>
      </c>
      <c r="N8" s="17" t="s">
        <v>2</v>
      </c>
      <c r="O8" s="17" t="s">
        <v>6</v>
      </c>
      <c r="P8" s="17" t="s">
        <v>1</v>
      </c>
      <c r="Q8" s="17">
        <v>4</v>
      </c>
    </row>
    <row r="9" spans="1:17" ht="16.2" thickBot="1">
      <c r="A9" s="5" t="s">
        <v>15</v>
      </c>
      <c r="B9" s="3">
        <v>206</v>
      </c>
      <c r="C9" s="3">
        <v>139</v>
      </c>
      <c r="D9" s="1">
        <v>8</v>
      </c>
      <c r="E9" s="1">
        <v>56</v>
      </c>
      <c r="F9" s="3">
        <v>84</v>
      </c>
      <c r="G9" s="3">
        <v>25</v>
      </c>
      <c r="H9" s="3">
        <v>14</v>
      </c>
      <c r="I9" s="3">
        <v>2</v>
      </c>
      <c r="J9" s="3">
        <v>12</v>
      </c>
      <c r="K9" s="3">
        <v>16</v>
      </c>
      <c r="N9" s="17" t="s">
        <v>2</v>
      </c>
      <c r="O9" s="17" t="s">
        <v>6</v>
      </c>
      <c r="P9" s="17" t="s">
        <v>7</v>
      </c>
      <c r="Q9" s="17">
        <v>1</v>
      </c>
    </row>
    <row r="10" spans="1:17" ht="16.2" thickBot="1">
      <c r="A10" s="5" t="s">
        <v>16</v>
      </c>
      <c r="B10" s="3">
        <v>178</v>
      </c>
      <c r="C10" s="3">
        <v>138</v>
      </c>
      <c r="D10" s="1">
        <v>18</v>
      </c>
      <c r="E10" s="1">
        <v>36</v>
      </c>
      <c r="F10" s="3">
        <v>81</v>
      </c>
      <c r="G10" s="3">
        <v>19</v>
      </c>
      <c r="H10" s="3">
        <v>18</v>
      </c>
      <c r="I10" s="3">
        <v>3</v>
      </c>
      <c r="J10" s="3">
        <v>5</v>
      </c>
      <c r="K10" s="3">
        <v>14</v>
      </c>
      <c r="N10" s="17" t="s">
        <v>2</v>
      </c>
      <c r="O10" s="17" t="s">
        <v>6</v>
      </c>
      <c r="P10" s="17" t="s">
        <v>8</v>
      </c>
      <c r="Q10" s="17">
        <v>0</v>
      </c>
    </row>
    <row r="11" spans="1:17" ht="16.2" thickBot="1">
      <c r="A11" s="5" t="s">
        <v>17</v>
      </c>
      <c r="B11" s="3">
        <v>191</v>
      </c>
      <c r="C11" s="3">
        <v>108</v>
      </c>
      <c r="D11" s="1">
        <v>20</v>
      </c>
      <c r="E11" s="1">
        <v>54</v>
      </c>
      <c r="F11" s="3">
        <v>57</v>
      </c>
      <c r="G11" s="3">
        <v>18</v>
      </c>
      <c r="H11" s="3">
        <v>4</v>
      </c>
      <c r="I11" s="3">
        <v>4</v>
      </c>
      <c r="J11" s="3">
        <v>3</v>
      </c>
      <c r="K11" s="3">
        <v>10</v>
      </c>
      <c r="N11" s="17" t="s">
        <v>2</v>
      </c>
      <c r="O11" s="17" t="s">
        <v>6</v>
      </c>
      <c r="P11" s="17" t="s">
        <v>55</v>
      </c>
      <c r="Q11" s="17">
        <v>3</v>
      </c>
    </row>
    <row r="12" spans="1:17" ht="16.2" thickBot="1">
      <c r="A12" s="5" t="s">
        <v>18</v>
      </c>
      <c r="B12" s="3">
        <v>190</v>
      </c>
      <c r="C12" s="3">
        <v>126</v>
      </c>
      <c r="D12" s="1">
        <v>11</v>
      </c>
      <c r="E12" s="1">
        <v>43</v>
      </c>
      <c r="F12" s="3">
        <v>53</v>
      </c>
      <c r="G12" s="3">
        <v>20</v>
      </c>
      <c r="H12" s="3">
        <v>6</v>
      </c>
      <c r="I12" s="3">
        <v>3</v>
      </c>
      <c r="J12" s="3">
        <v>9</v>
      </c>
      <c r="K12" s="3">
        <v>8</v>
      </c>
      <c r="N12" s="17" t="s">
        <v>2</v>
      </c>
      <c r="O12" s="17" t="s">
        <v>6</v>
      </c>
      <c r="P12" s="17" t="s">
        <v>56</v>
      </c>
      <c r="Q12" s="17">
        <v>5</v>
      </c>
    </row>
    <row r="13" spans="1:17" ht="16.2" thickBot="1">
      <c r="A13" s="5" t="s">
        <v>19</v>
      </c>
      <c r="B13" s="3">
        <v>188</v>
      </c>
      <c r="C13" s="3">
        <v>132</v>
      </c>
      <c r="D13" s="1">
        <v>9</v>
      </c>
      <c r="E13" s="1">
        <v>49</v>
      </c>
      <c r="F13" s="3">
        <v>39</v>
      </c>
      <c r="G13" s="3">
        <v>24</v>
      </c>
      <c r="H13" s="3">
        <v>8</v>
      </c>
      <c r="I13" s="3">
        <v>2</v>
      </c>
      <c r="J13" s="3">
        <v>14</v>
      </c>
      <c r="K13" s="3">
        <v>13</v>
      </c>
      <c r="N13" s="17" t="s">
        <v>11</v>
      </c>
      <c r="O13" s="17" t="s">
        <v>30</v>
      </c>
      <c r="P13" s="17" t="s">
        <v>1</v>
      </c>
      <c r="Q13" s="17">
        <v>245</v>
      </c>
    </row>
    <row r="14" spans="1:17" ht="16.2" thickBot="1">
      <c r="A14" s="5" t="s">
        <v>3</v>
      </c>
      <c r="B14" s="3">
        <v>204</v>
      </c>
      <c r="C14" s="3">
        <v>133</v>
      </c>
      <c r="D14" s="1">
        <v>8</v>
      </c>
      <c r="E14" s="1">
        <v>48</v>
      </c>
      <c r="F14" s="3">
        <v>51</v>
      </c>
      <c r="G14" s="3">
        <v>26</v>
      </c>
      <c r="H14" s="3">
        <v>9</v>
      </c>
      <c r="I14" s="3">
        <v>1</v>
      </c>
      <c r="J14" s="3">
        <v>16</v>
      </c>
      <c r="K14" s="3">
        <v>12</v>
      </c>
      <c r="N14" s="17" t="s">
        <v>11</v>
      </c>
      <c r="O14" s="17" t="s">
        <v>30</v>
      </c>
      <c r="P14" s="17" t="s">
        <v>7</v>
      </c>
      <c r="Q14" s="17">
        <v>155</v>
      </c>
    </row>
    <row r="15" spans="1:17" ht="16.2" thickBot="1">
      <c r="A15" s="5" t="s">
        <v>20</v>
      </c>
      <c r="B15" s="3">
        <v>201</v>
      </c>
      <c r="C15" s="3">
        <v>138</v>
      </c>
      <c r="D15" s="1">
        <v>13</v>
      </c>
      <c r="E15" s="1">
        <v>41</v>
      </c>
      <c r="F15" s="3">
        <v>60</v>
      </c>
      <c r="G15" s="3">
        <v>33</v>
      </c>
      <c r="H15" s="3">
        <v>16</v>
      </c>
      <c r="I15" s="3">
        <v>1</v>
      </c>
      <c r="J15" s="3">
        <v>12</v>
      </c>
      <c r="K15" s="3">
        <v>10</v>
      </c>
      <c r="N15" s="17" t="s">
        <v>11</v>
      </c>
      <c r="O15" s="17" t="s">
        <v>30</v>
      </c>
      <c r="P15" s="17" t="s">
        <v>8</v>
      </c>
      <c r="Q15" s="17">
        <v>17</v>
      </c>
    </row>
    <row r="16" spans="1:17" ht="16.2" thickBot="1">
      <c r="A16" s="5" t="s">
        <v>21</v>
      </c>
      <c r="B16" s="3">
        <v>195</v>
      </c>
      <c r="C16" s="3">
        <v>124</v>
      </c>
      <c r="D16" s="1">
        <v>7</v>
      </c>
      <c r="E16" s="1">
        <v>43</v>
      </c>
      <c r="F16" s="3">
        <v>56</v>
      </c>
      <c r="G16" s="3">
        <v>35</v>
      </c>
      <c r="H16" s="3">
        <v>19</v>
      </c>
      <c r="I16" s="3">
        <v>1</v>
      </c>
      <c r="J16" s="3">
        <v>11</v>
      </c>
      <c r="K16" s="3">
        <v>10</v>
      </c>
      <c r="N16" s="17" t="s">
        <v>11</v>
      </c>
      <c r="O16" s="17" t="s">
        <v>30</v>
      </c>
      <c r="P16" s="17" t="s">
        <v>55</v>
      </c>
      <c r="Q16" s="17">
        <v>69</v>
      </c>
    </row>
    <row r="17" spans="14:17" ht="15" thickBot="1">
      <c r="N17" s="17" t="s">
        <v>11</v>
      </c>
      <c r="O17" s="17" t="s">
        <v>30</v>
      </c>
      <c r="P17" s="17" t="s">
        <v>56</v>
      </c>
      <c r="Q17" s="17">
        <v>110</v>
      </c>
    </row>
    <row r="18" spans="14:17" ht="15" thickBot="1">
      <c r="N18" s="17" t="s">
        <v>11</v>
      </c>
      <c r="O18" s="17" t="s">
        <v>6</v>
      </c>
      <c r="P18" s="17" t="s">
        <v>1</v>
      </c>
      <c r="Q18" s="17">
        <v>9</v>
      </c>
    </row>
    <row r="19" spans="14:17" ht="15" thickBot="1">
      <c r="N19" s="17" t="s">
        <v>11</v>
      </c>
      <c r="O19" s="17" t="s">
        <v>6</v>
      </c>
      <c r="P19" s="17" t="s">
        <v>7</v>
      </c>
      <c r="Q19" s="17">
        <v>3</v>
      </c>
    </row>
    <row r="20" spans="14:17" ht="15" thickBot="1">
      <c r="N20" s="17" t="s">
        <v>11</v>
      </c>
      <c r="O20" s="17" t="s">
        <v>6</v>
      </c>
      <c r="P20" s="17" t="s">
        <v>8</v>
      </c>
      <c r="Q20" s="17">
        <v>0</v>
      </c>
    </row>
    <row r="21" spans="14:17" ht="15" thickBot="1">
      <c r="N21" s="17" t="s">
        <v>11</v>
      </c>
      <c r="O21" s="17" t="s">
        <v>6</v>
      </c>
      <c r="P21" s="17" t="s">
        <v>55</v>
      </c>
      <c r="Q21" s="17">
        <v>6</v>
      </c>
    </row>
    <row r="22" spans="14:17" ht="15" thickBot="1">
      <c r="N22" s="17" t="s">
        <v>11</v>
      </c>
      <c r="O22" s="17" t="s">
        <v>6</v>
      </c>
      <c r="P22" s="17" t="s">
        <v>56</v>
      </c>
      <c r="Q22" s="17">
        <v>1</v>
      </c>
    </row>
    <row r="23" spans="14:17" ht="15" thickBot="1">
      <c r="N23" s="17" t="s">
        <v>12</v>
      </c>
      <c r="O23" s="17" t="s">
        <v>30</v>
      </c>
      <c r="P23" s="17" t="s">
        <v>1</v>
      </c>
      <c r="Q23" s="17">
        <v>250</v>
      </c>
    </row>
    <row r="24" spans="14:17" ht="15" thickBot="1">
      <c r="N24" s="17" t="s">
        <v>12</v>
      </c>
      <c r="O24" s="17" t="s">
        <v>30</v>
      </c>
      <c r="P24" s="17" t="s">
        <v>7</v>
      </c>
      <c r="Q24" s="17">
        <v>178</v>
      </c>
    </row>
    <row r="25" spans="14:17" ht="15" thickBot="1">
      <c r="N25" s="17" t="s">
        <v>12</v>
      </c>
      <c r="O25" s="17" t="s">
        <v>30</v>
      </c>
      <c r="P25" s="17" t="s">
        <v>8</v>
      </c>
      <c r="Q25" s="17">
        <v>30</v>
      </c>
    </row>
    <row r="26" spans="14:17" ht="15" thickBot="1">
      <c r="N26" s="17" t="s">
        <v>12</v>
      </c>
      <c r="O26" s="17" t="s">
        <v>30</v>
      </c>
      <c r="P26" s="17" t="s">
        <v>55</v>
      </c>
      <c r="Q26" s="17">
        <v>66</v>
      </c>
    </row>
    <row r="27" spans="14:17" ht="15" thickBot="1">
      <c r="N27" s="17" t="s">
        <v>12</v>
      </c>
      <c r="O27" s="17" t="s">
        <v>30</v>
      </c>
      <c r="P27" s="17" t="s">
        <v>56</v>
      </c>
      <c r="Q27" s="17">
        <v>85</v>
      </c>
    </row>
    <row r="28" spans="14:17" ht="15" thickBot="1">
      <c r="N28" s="17" t="s">
        <v>12</v>
      </c>
      <c r="O28" s="17" t="s">
        <v>6</v>
      </c>
      <c r="P28" s="17" t="s">
        <v>1</v>
      </c>
      <c r="Q28" s="17">
        <v>16</v>
      </c>
    </row>
    <row r="29" spans="14:17" ht="15" thickBot="1">
      <c r="N29" s="17" t="s">
        <v>12</v>
      </c>
      <c r="O29" s="17" t="s">
        <v>6</v>
      </c>
      <c r="P29" s="17" t="s">
        <v>7</v>
      </c>
      <c r="Q29" s="17">
        <v>6</v>
      </c>
    </row>
    <row r="30" spans="14:17" ht="15" thickBot="1">
      <c r="N30" s="17" t="s">
        <v>12</v>
      </c>
      <c r="O30" s="17" t="s">
        <v>6</v>
      </c>
      <c r="P30" s="17" t="s">
        <v>8</v>
      </c>
      <c r="Q30" s="17">
        <v>0</v>
      </c>
    </row>
    <row r="31" spans="14:17" ht="15" thickBot="1">
      <c r="N31" s="17" t="s">
        <v>12</v>
      </c>
      <c r="O31" s="17" t="s">
        <v>6</v>
      </c>
      <c r="P31" s="17" t="s">
        <v>55</v>
      </c>
      <c r="Q31" s="17">
        <v>10</v>
      </c>
    </row>
    <row r="32" spans="14:17" ht="15" thickBot="1">
      <c r="N32" s="17" t="s">
        <v>12</v>
      </c>
      <c r="O32" s="17" t="s">
        <v>6</v>
      </c>
      <c r="P32" s="17" t="s">
        <v>56</v>
      </c>
      <c r="Q32" s="17">
        <v>2</v>
      </c>
    </row>
    <row r="33" spans="14:17" ht="15" thickBot="1">
      <c r="N33" s="17" t="s">
        <v>13</v>
      </c>
      <c r="O33" s="17" t="s">
        <v>30</v>
      </c>
      <c r="P33" s="17" t="s">
        <v>1</v>
      </c>
      <c r="Q33" s="17">
        <v>260</v>
      </c>
    </row>
    <row r="34" spans="14:17" ht="15" thickBot="1">
      <c r="N34" s="17" t="s">
        <v>13</v>
      </c>
      <c r="O34" s="17" t="s">
        <v>30</v>
      </c>
      <c r="P34" s="17" t="s">
        <v>7</v>
      </c>
      <c r="Q34" s="17">
        <v>159</v>
      </c>
    </row>
    <row r="35" spans="14:17" ht="15" thickBot="1">
      <c r="N35" s="17" t="s">
        <v>13</v>
      </c>
      <c r="O35" s="17" t="s">
        <v>30</v>
      </c>
      <c r="P35" s="17" t="s">
        <v>8</v>
      </c>
      <c r="Q35" s="17">
        <v>28</v>
      </c>
    </row>
    <row r="36" spans="14:17" ht="15" thickBot="1">
      <c r="N36" s="17" t="s">
        <v>13</v>
      </c>
      <c r="O36" s="17" t="s">
        <v>30</v>
      </c>
      <c r="P36" s="17" t="s">
        <v>55</v>
      </c>
      <c r="Q36" s="17">
        <v>81</v>
      </c>
    </row>
    <row r="37" spans="14:17" ht="15" thickBot="1">
      <c r="N37" s="17" t="s">
        <v>13</v>
      </c>
      <c r="O37" s="17" t="s">
        <v>30</v>
      </c>
      <c r="P37" s="17" t="s">
        <v>56</v>
      </c>
      <c r="Q37" s="17">
        <v>81</v>
      </c>
    </row>
    <row r="38" spans="14:17" ht="15" thickBot="1">
      <c r="N38" s="17" t="s">
        <v>13</v>
      </c>
      <c r="O38" s="17" t="s">
        <v>6</v>
      </c>
      <c r="P38" s="17" t="s">
        <v>1</v>
      </c>
      <c r="Q38" s="17">
        <v>24</v>
      </c>
    </row>
    <row r="39" spans="14:17" ht="15" thickBot="1">
      <c r="N39" s="17" t="s">
        <v>13</v>
      </c>
      <c r="O39" s="17" t="s">
        <v>6</v>
      </c>
      <c r="P39" s="17" t="s">
        <v>7</v>
      </c>
      <c r="Q39" s="17">
        <v>10</v>
      </c>
    </row>
    <row r="40" spans="14:17" ht="15" thickBot="1">
      <c r="N40" s="17" t="s">
        <v>13</v>
      </c>
      <c r="O40" s="17" t="s">
        <v>6</v>
      </c>
      <c r="P40" s="17" t="s">
        <v>8</v>
      </c>
      <c r="Q40" s="17">
        <v>1</v>
      </c>
    </row>
    <row r="41" spans="14:17" ht="15" thickBot="1">
      <c r="N41" s="17" t="s">
        <v>13</v>
      </c>
      <c r="O41" s="17" t="s">
        <v>6</v>
      </c>
      <c r="P41" s="17" t="s">
        <v>55</v>
      </c>
      <c r="Q41" s="17">
        <v>15</v>
      </c>
    </row>
    <row r="42" spans="14:17" ht="15" thickBot="1">
      <c r="N42" s="17" t="s">
        <v>13</v>
      </c>
      <c r="O42" s="17" t="s">
        <v>6</v>
      </c>
      <c r="P42" s="17" t="s">
        <v>56</v>
      </c>
      <c r="Q42" s="17">
        <v>10</v>
      </c>
    </row>
    <row r="43" spans="14:17" ht="15" thickBot="1">
      <c r="N43" s="17" t="s">
        <v>14</v>
      </c>
      <c r="O43" s="17" t="s">
        <v>30</v>
      </c>
      <c r="P43" s="17" t="s">
        <v>1</v>
      </c>
      <c r="Q43" s="17">
        <v>244</v>
      </c>
    </row>
    <row r="44" spans="14:17" ht="15" thickBot="1">
      <c r="N44" s="17" t="s">
        <v>14</v>
      </c>
      <c r="O44" s="17" t="s">
        <v>30</v>
      </c>
      <c r="P44" s="17" t="s">
        <v>7</v>
      </c>
      <c r="Q44" s="17">
        <v>141</v>
      </c>
    </row>
    <row r="45" spans="14:17" ht="15" thickBot="1">
      <c r="N45" s="17" t="s">
        <v>14</v>
      </c>
      <c r="O45" s="17" t="s">
        <v>30</v>
      </c>
      <c r="P45" s="17" t="s">
        <v>8</v>
      </c>
      <c r="Q45" s="17">
        <v>18</v>
      </c>
    </row>
    <row r="46" spans="14:17" ht="15" thickBot="1">
      <c r="N46" s="17" t="s">
        <v>14</v>
      </c>
      <c r="O46" s="17" t="s">
        <v>30</v>
      </c>
      <c r="P46" s="17" t="s">
        <v>55</v>
      </c>
      <c r="Q46" s="17">
        <v>63</v>
      </c>
    </row>
    <row r="47" spans="14:17" ht="15" thickBot="1">
      <c r="N47" s="17" t="s">
        <v>14</v>
      </c>
      <c r="O47" s="17" t="s">
        <v>30</v>
      </c>
      <c r="P47" s="17" t="s">
        <v>56</v>
      </c>
      <c r="Q47" s="17">
        <v>92</v>
      </c>
    </row>
    <row r="48" spans="14:17" ht="15" thickBot="1">
      <c r="N48" s="17" t="s">
        <v>14</v>
      </c>
      <c r="O48" s="17" t="s">
        <v>6</v>
      </c>
      <c r="P48" s="17" t="s">
        <v>1</v>
      </c>
      <c r="Q48" s="17">
        <v>28</v>
      </c>
    </row>
    <row r="49" spans="14:17" ht="15" thickBot="1">
      <c r="N49" s="17" t="s">
        <v>14</v>
      </c>
      <c r="O49" s="17" t="s">
        <v>6</v>
      </c>
      <c r="P49" s="17" t="s">
        <v>7</v>
      </c>
      <c r="Q49" s="17">
        <v>12</v>
      </c>
    </row>
    <row r="50" spans="14:17" ht="15" thickBot="1">
      <c r="N50" s="17" t="s">
        <v>14</v>
      </c>
      <c r="O50" s="17" t="s">
        <v>6</v>
      </c>
      <c r="P50" s="17" t="s">
        <v>8</v>
      </c>
      <c r="Q50" s="17">
        <v>1</v>
      </c>
    </row>
    <row r="51" spans="14:17" ht="15" thickBot="1">
      <c r="N51" s="17" t="s">
        <v>14</v>
      </c>
      <c r="O51" s="17" t="s">
        <v>6</v>
      </c>
      <c r="P51" s="17" t="s">
        <v>55</v>
      </c>
      <c r="Q51" s="17">
        <v>16</v>
      </c>
    </row>
    <row r="52" spans="14:17" ht="15" thickBot="1">
      <c r="N52" s="17" t="s">
        <v>14</v>
      </c>
      <c r="O52" s="17" t="s">
        <v>6</v>
      </c>
      <c r="P52" s="17" t="s">
        <v>56</v>
      </c>
      <c r="Q52" s="17">
        <v>14</v>
      </c>
    </row>
    <row r="53" spans="14:17" ht="15" thickBot="1">
      <c r="N53" s="17" t="s">
        <v>15</v>
      </c>
      <c r="O53" s="17" t="s">
        <v>30</v>
      </c>
      <c r="P53" s="17" t="s">
        <v>1</v>
      </c>
      <c r="Q53" s="17">
        <v>206</v>
      </c>
    </row>
    <row r="54" spans="14:17" ht="15" thickBot="1">
      <c r="N54" s="17" t="s">
        <v>15</v>
      </c>
      <c r="O54" s="17" t="s">
        <v>30</v>
      </c>
      <c r="P54" s="17" t="s">
        <v>7</v>
      </c>
      <c r="Q54" s="17">
        <v>139</v>
      </c>
    </row>
    <row r="55" spans="14:17" ht="15" thickBot="1">
      <c r="N55" s="17" t="s">
        <v>15</v>
      </c>
      <c r="O55" s="17" t="s">
        <v>30</v>
      </c>
      <c r="P55" s="17" t="s">
        <v>8</v>
      </c>
      <c r="Q55" s="17">
        <v>8</v>
      </c>
    </row>
    <row r="56" spans="14:17" ht="15" thickBot="1">
      <c r="N56" s="17" t="s">
        <v>15</v>
      </c>
      <c r="O56" s="17" t="s">
        <v>30</v>
      </c>
      <c r="P56" s="17" t="s">
        <v>55</v>
      </c>
      <c r="Q56" s="17">
        <v>56</v>
      </c>
    </row>
    <row r="57" spans="14:17" ht="15" thickBot="1">
      <c r="N57" s="17" t="s">
        <v>15</v>
      </c>
      <c r="O57" s="17" t="s">
        <v>30</v>
      </c>
      <c r="P57" s="17" t="s">
        <v>56</v>
      </c>
      <c r="Q57" s="17">
        <v>84</v>
      </c>
    </row>
    <row r="58" spans="14:17" ht="15" thickBot="1">
      <c r="N58" s="17" t="s">
        <v>15</v>
      </c>
      <c r="O58" s="17" t="s">
        <v>6</v>
      </c>
      <c r="P58" s="17" t="s">
        <v>1</v>
      </c>
      <c r="Q58" s="17">
        <v>25</v>
      </c>
    </row>
    <row r="59" spans="14:17" ht="15" thickBot="1">
      <c r="N59" s="17" t="s">
        <v>15</v>
      </c>
      <c r="O59" s="17" t="s">
        <v>6</v>
      </c>
      <c r="P59" s="17" t="s">
        <v>7</v>
      </c>
      <c r="Q59" s="17">
        <v>14</v>
      </c>
    </row>
    <row r="60" spans="14:17" ht="15" thickBot="1">
      <c r="N60" s="17" t="s">
        <v>15</v>
      </c>
      <c r="O60" s="17" t="s">
        <v>6</v>
      </c>
      <c r="P60" s="17" t="s">
        <v>8</v>
      </c>
      <c r="Q60" s="17">
        <v>2</v>
      </c>
    </row>
    <row r="61" spans="14:17" ht="15" thickBot="1">
      <c r="N61" s="17" t="s">
        <v>15</v>
      </c>
      <c r="O61" s="17" t="s">
        <v>6</v>
      </c>
      <c r="P61" s="17" t="s">
        <v>55</v>
      </c>
      <c r="Q61" s="17">
        <v>12</v>
      </c>
    </row>
    <row r="62" spans="14:17" ht="15" thickBot="1">
      <c r="N62" s="17" t="s">
        <v>15</v>
      </c>
      <c r="O62" s="17" t="s">
        <v>6</v>
      </c>
      <c r="P62" s="17" t="s">
        <v>56</v>
      </c>
      <c r="Q62" s="17">
        <v>16</v>
      </c>
    </row>
    <row r="63" spans="14:17" ht="15" thickBot="1">
      <c r="N63" s="17" t="s">
        <v>16</v>
      </c>
      <c r="O63" s="17" t="s">
        <v>30</v>
      </c>
      <c r="P63" s="17" t="s">
        <v>1</v>
      </c>
      <c r="Q63" s="17">
        <v>178</v>
      </c>
    </row>
    <row r="64" spans="14:17" ht="15" thickBot="1">
      <c r="N64" s="17" t="s">
        <v>16</v>
      </c>
      <c r="O64" s="17" t="s">
        <v>30</v>
      </c>
      <c r="P64" s="17" t="s">
        <v>7</v>
      </c>
      <c r="Q64" s="17">
        <v>138</v>
      </c>
    </row>
    <row r="65" spans="14:17" ht="15" thickBot="1">
      <c r="N65" s="17" t="s">
        <v>16</v>
      </c>
      <c r="O65" s="17" t="s">
        <v>30</v>
      </c>
      <c r="P65" s="17" t="s">
        <v>8</v>
      </c>
      <c r="Q65" s="17">
        <v>18</v>
      </c>
    </row>
    <row r="66" spans="14:17" ht="15" thickBot="1">
      <c r="N66" s="17" t="s">
        <v>16</v>
      </c>
      <c r="O66" s="17" t="s">
        <v>30</v>
      </c>
      <c r="P66" s="17" t="s">
        <v>55</v>
      </c>
      <c r="Q66" s="17">
        <v>36</v>
      </c>
    </row>
    <row r="67" spans="14:17" ht="15" thickBot="1">
      <c r="N67" s="17" t="s">
        <v>16</v>
      </c>
      <c r="O67" s="17" t="s">
        <v>30</v>
      </c>
      <c r="P67" s="17" t="s">
        <v>56</v>
      </c>
      <c r="Q67" s="17">
        <v>81</v>
      </c>
    </row>
    <row r="68" spans="14:17" ht="15" thickBot="1">
      <c r="N68" s="17" t="s">
        <v>16</v>
      </c>
      <c r="O68" s="17" t="s">
        <v>6</v>
      </c>
      <c r="P68" s="17" t="s">
        <v>1</v>
      </c>
      <c r="Q68" s="17">
        <v>19</v>
      </c>
    </row>
    <row r="69" spans="14:17" ht="15" thickBot="1">
      <c r="N69" s="17" t="s">
        <v>16</v>
      </c>
      <c r="O69" s="17" t="s">
        <v>6</v>
      </c>
      <c r="P69" s="17" t="s">
        <v>7</v>
      </c>
      <c r="Q69" s="17">
        <v>18</v>
      </c>
    </row>
    <row r="70" spans="14:17" ht="15" thickBot="1">
      <c r="N70" s="17" t="s">
        <v>16</v>
      </c>
      <c r="O70" s="17" t="s">
        <v>6</v>
      </c>
      <c r="P70" s="17" t="s">
        <v>8</v>
      </c>
      <c r="Q70" s="17">
        <v>3</v>
      </c>
    </row>
    <row r="71" spans="14:17" ht="15" thickBot="1">
      <c r="N71" s="17" t="s">
        <v>16</v>
      </c>
      <c r="O71" s="17" t="s">
        <v>6</v>
      </c>
      <c r="P71" s="17" t="s">
        <v>55</v>
      </c>
      <c r="Q71" s="17">
        <v>5</v>
      </c>
    </row>
    <row r="72" spans="14:17" ht="15" thickBot="1">
      <c r="N72" s="17" t="s">
        <v>16</v>
      </c>
      <c r="O72" s="17" t="s">
        <v>6</v>
      </c>
      <c r="P72" s="17" t="s">
        <v>56</v>
      </c>
      <c r="Q72" s="17">
        <v>14</v>
      </c>
    </row>
    <row r="73" spans="14:17" ht="15" thickBot="1">
      <c r="N73" s="17" t="s">
        <v>17</v>
      </c>
      <c r="O73" s="17" t="s">
        <v>30</v>
      </c>
      <c r="P73" s="17" t="s">
        <v>1</v>
      </c>
      <c r="Q73" s="17">
        <v>191</v>
      </c>
    </row>
    <row r="74" spans="14:17" ht="15" thickBot="1">
      <c r="N74" s="17" t="s">
        <v>17</v>
      </c>
      <c r="O74" s="17" t="s">
        <v>30</v>
      </c>
      <c r="P74" s="17" t="s">
        <v>7</v>
      </c>
      <c r="Q74" s="17">
        <v>108</v>
      </c>
    </row>
    <row r="75" spans="14:17" ht="15" thickBot="1">
      <c r="N75" s="17" t="s">
        <v>17</v>
      </c>
      <c r="O75" s="17" t="s">
        <v>30</v>
      </c>
      <c r="P75" s="17" t="s">
        <v>8</v>
      </c>
      <c r="Q75" s="17">
        <v>20</v>
      </c>
    </row>
    <row r="76" spans="14:17" ht="15" thickBot="1">
      <c r="N76" s="17" t="s">
        <v>17</v>
      </c>
      <c r="O76" s="17" t="s">
        <v>30</v>
      </c>
      <c r="P76" s="17" t="s">
        <v>55</v>
      </c>
      <c r="Q76" s="17">
        <v>54</v>
      </c>
    </row>
    <row r="77" spans="14:17" ht="15" thickBot="1">
      <c r="N77" s="17" t="s">
        <v>17</v>
      </c>
      <c r="O77" s="17" t="s">
        <v>30</v>
      </c>
      <c r="P77" s="17" t="s">
        <v>56</v>
      </c>
      <c r="Q77" s="17">
        <v>57</v>
      </c>
    </row>
    <row r="78" spans="14:17" ht="15" thickBot="1">
      <c r="N78" s="17" t="s">
        <v>17</v>
      </c>
      <c r="O78" s="17" t="s">
        <v>6</v>
      </c>
      <c r="P78" s="17" t="s">
        <v>1</v>
      </c>
      <c r="Q78" s="17">
        <v>18</v>
      </c>
    </row>
    <row r="79" spans="14:17" ht="15" thickBot="1">
      <c r="N79" s="17" t="s">
        <v>17</v>
      </c>
      <c r="O79" s="17" t="s">
        <v>6</v>
      </c>
      <c r="P79" s="17" t="s">
        <v>7</v>
      </c>
      <c r="Q79" s="17">
        <v>4</v>
      </c>
    </row>
    <row r="80" spans="14:17" ht="15" thickBot="1">
      <c r="N80" s="17" t="s">
        <v>17</v>
      </c>
      <c r="O80" s="17" t="s">
        <v>6</v>
      </c>
      <c r="P80" s="17" t="s">
        <v>8</v>
      </c>
      <c r="Q80" s="17">
        <v>4</v>
      </c>
    </row>
    <row r="81" spans="14:17" ht="15" thickBot="1">
      <c r="N81" s="17" t="s">
        <v>17</v>
      </c>
      <c r="O81" s="17" t="s">
        <v>6</v>
      </c>
      <c r="P81" s="17" t="s">
        <v>55</v>
      </c>
      <c r="Q81" s="17">
        <v>3</v>
      </c>
    </row>
    <row r="82" spans="14:17" ht="15" thickBot="1">
      <c r="N82" s="17" t="s">
        <v>17</v>
      </c>
      <c r="O82" s="17" t="s">
        <v>6</v>
      </c>
      <c r="P82" s="17" t="s">
        <v>56</v>
      </c>
      <c r="Q82" s="17">
        <v>10</v>
      </c>
    </row>
    <row r="83" spans="14:17" ht="15" thickBot="1">
      <c r="N83" s="17" t="s">
        <v>18</v>
      </c>
      <c r="O83" s="17" t="s">
        <v>30</v>
      </c>
      <c r="P83" s="17" t="s">
        <v>1</v>
      </c>
      <c r="Q83" s="17">
        <v>190</v>
      </c>
    </row>
    <row r="84" spans="14:17" ht="15" thickBot="1">
      <c r="N84" s="17" t="s">
        <v>18</v>
      </c>
      <c r="O84" s="17" t="s">
        <v>30</v>
      </c>
      <c r="P84" s="17" t="s">
        <v>7</v>
      </c>
      <c r="Q84" s="17">
        <v>126</v>
      </c>
    </row>
    <row r="85" spans="14:17" ht="15" thickBot="1">
      <c r="N85" s="17" t="s">
        <v>18</v>
      </c>
      <c r="O85" s="17" t="s">
        <v>30</v>
      </c>
      <c r="P85" s="17" t="s">
        <v>8</v>
      </c>
      <c r="Q85" s="17">
        <v>11</v>
      </c>
    </row>
    <row r="86" spans="14:17" ht="15" thickBot="1">
      <c r="N86" s="17" t="s">
        <v>18</v>
      </c>
      <c r="O86" s="17" t="s">
        <v>30</v>
      </c>
      <c r="P86" s="17" t="s">
        <v>55</v>
      </c>
      <c r="Q86" s="17">
        <v>43</v>
      </c>
    </row>
    <row r="87" spans="14:17" ht="15" thickBot="1">
      <c r="N87" s="17" t="s">
        <v>18</v>
      </c>
      <c r="O87" s="17" t="s">
        <v>30</v>
      </c>
      <c r="P87" s="17" t="s">
        <v>56</v>
      </c>
      <c r="Q87" s="17">
        <v>53</v>
      </c>
    </row>
    <row r="88" spans="14:17" ht="15" thickBot="1">
      <c r="N88" s="17" t="s">
        <v>18</v>
      </c>
      <c r="O88" s="17" t="s">
        <v>6</v>
      </c>
      <c r="P88" s="17" t="s">
        <v>1</v>
      </c>
      <c r="Q88" s="17">
        <v>20</v>
      </c>
    </row>
    <row r="89" spans="14:17" ht="15" thickBot="1">
      <c r="N89" s="17" t="s">
        <v>18</v>
      </c>
      <c r="O89" s="17" t="s">
        <v>6</v>
      </c>
      <c r="P89" s="17" t="s">
        <v>7</v>
      </c>
      <c r="Q89" s="17">
        <v>6</v>
      </c>
    </row>
    <row r="90" spans="14:17" ht="15" thickBot="1">
      <c r="N90" s="17" t="s">
        <v>18</v>
      </c>
      <c r="O90" s="17" t="s">
        <v>6</v>
      </c>
      <c r="P90" s="17" t="s">
        <v>8</v>
      </c>
      <c r="Q90" s="17">
        <v>3</v>
      </c>
    </row>
    <row r="91" spans="14:17" ht="15" thickBot="1">
      <c r="N91" s="17" t="s">
        <v>18</v>
      </c>
      <c r="O91" s="17" t="s">
        <v>6</v>
      </c>
      <c r="P91" s="17" t="s">
        <v>55</v>
      </c>
      <c r="Q91" s="17">
        <v>9</v>
      </c>
    </row>
    <row r="92" spans="14:17" ht="15" thickBot="1">
      <c r="N92" s="17" t="s">
        <v>18</v>
      </c>
      <c r="O92" s="17" t="s">
        <v>6</v>
      </c>
      <c r="P92" s="17" t="s">
        <v>56</v>
      </c>
      <c r="Q92" s="17">
        <v>8</v>
      </c>
    </row>
    <row r="93" spans="14:17" ht="15" thickBot="1">
      <c r="N93" s="17" t="s">
        <v>19</v>
      </c>
      <c r="O93" s="17" t="s">
        <v>30</v>
      </c>
      <c r="P93" s="17" t="s">
        <v>1</v>
      </c>
      <c r="Q93" s="17">
        <v>188</v>
      </c>
    </row>
    <row r="94" spans="14:17" ht="15" thickBot="1">
      <c r="N94" s="17" t="s">
        <v>19</v>
      </c>
      <c r="O94" s="17" t="s">
        <v>30</v>
      </c>
      <c r="P94" s="17" t="s">
        <v>7</v>
      </c>
      <c r="Q94" s="17">
        <v>132</v>
      </c>
    </row>
    <row r="95" spans="14:17" ht="15" thickBot="1">
      <c r="N95" s="17" t="s">
        <v>19</v>
      </c>
      <c r="O95" s="17" t="s">
        <v>30</v>
      </c>
      <c r="P95" s="17" t="s">
        <v>8</v>
      </c>
      <c r="Q95" s="17">
        <v>9</v>
      </c>
    </row>
    <row r="96" spans="14:17" ht="15" thickBot="1">
      <c r="N96" s="17" t="s">
        <v>19</v>
      </c>
      <c r="O96" s="17" t="s">
        <v>30</v>
      </c>
      <c r="P96" s="17" t="s">
        <v>55</v>
      </c>
      <c r="Q96" s="17">
        <v>49</v>
      </c>
    </row>
    <row r="97" spans="14:17" ht="15" thickBot="1">
      <c r="N97" s="17" t="s">
        <v>19</v>
      </c>
      <c r="O97" s="17" t="s">
        <v>30</v>
      </c>
      <c r="P97" s="17" t="s">
        <v>56</v>
      </c>
      <c r="Q97" s="17">
        <v>39</v>
      </c>
    </row>
    <row r="98" spans="14:17" ht="15" thickBot="1">
      <c r="N98" s="17" t="s">
        <v>19</v>
      </c>
      <c r="O98" s="17" t="s">
        <v>6</v>
      </c>
      <c r="P98" s="17" t="s">
        <v>1</v>
      </c>
      <c r="Q98" s="17">
        <v>24</v>
      </c>
    </row>
    <row r="99" spans="14:17" ht="15" thickBot="1">
      <c r="N99" s="17" t="s">
        <v>19</v>
      </c>
      <c r="O99" s="17" t="s">
        <v>6</v>
      </c>
      <c r="P99" s="17" t="s">
        <v>7</v>
      </c>
      <c r="Q99" s="17">
        <v>8</v>
      </c>
    </row>
    <row r="100" spans="14:17" ht="15" thickBot="1">
      <c r="N100" s="17" t="s">
        <v>19</v>
      </c>
      <c r="O100" s="17" t="s">
        <v>6</v>
      </c>
      <c r="P100" s="17" t="s">
        <v>8</v>
      </c>
      <c r="Q100" s="17">
        <v>2</v>
      </c>
    </row>
    <row r="101" spans="14:17" ht="15" thickBot="1">
      <c r="N101" s="17" t="s">
        <v>19</v>
      </c>
      <c r="O101" s="17" t="s">
        <v>6</v>
      </c>
      <c r="P101" s="17" t="s">
        <v>55</v>
      </c>
      <c r="Q101" s="17">
        <v>14</v>
      </c>
    </row>
    <row r="102" spans="14:17" ht="15" thickBot="1">
      <c r="N102" s="17" t="s">
        <v>19</v>
      </c>
      <c r="O102" s="17" t="s">
        <v>6</v>
      </c>
      <c r="P102" s="17" t="s">
        <v>56</v>
      </c>
      <c r="Q102" s="17">
        <v>13</v>
      </c>
    </row>
    <row r="103" spans="14:17" ht="15" thickBot="1">
      <c r="N103" s="17" t="s">
        <v>3</v>
      </c>
      <c r="O103" s="17" t="s">
        <v>30</v>
      </c>
      <c r="P103" s="17" t="s">
        <v>1</v>
      </c>
      <c r="Q103" s="17">
        <v>204</v>
      </c>
    </row>
    <row r="104" spans="14:17" ht="15" thickBot="1">
      <c r="N104" s="17" t="s">
        <v>3</v>
      </c>
      <c r="O104" s="17" t="s">
        <v>30</v>
      </c>
      <c r="P104" s="17" t="s">
        <v>7</v>
      </c>
      <c r="Q104" s="17">
        <v>133</v>
      </c>
    </row>
    <row r="105" spans="14:17" ht="15" thickBot="1">
      <c r="N105" s="17" t="s">
        <v>3</v>
      </c>
      <c r="O105" s="17" t="s">
        <v>30</v>
      </c>
      <c r="P105" s="17" t="s">
        <v>8</v>
      </c>
      <c r="Q105" s="17">
        <v>8</v>
      </c>
    </row>
    <row r="106" spans="14:17" ht="15" thickBot="1">
      <c r="N106" s="17" t="s">
        <v>3</v>
      </c>
      <c r="O106" s="17" t="s">
        <v>30</v>
      </c>
      <c r="P106" s="17" t="s">
        <v>55</v>
      </c>
      <c r="Q106" s="17">
        <v>48</v>
      </c>
    </row>
    <row r="107" spans="14:17" ht="15" thickBot="1">
      <c r="N107" s="17" t="s">
        <v>3</v>
      </c>
      <c r="O107" s="17" t="s">
        <v>30</v>
      </c>
      <c r="P107" s="17" t="s">
        <v>56</v>
      </c>
      <c r="Q107" s="17">
        <v>51</v>
      </c>
    </row>
    <row r="108" spans="14:17" ht="15" thickBot="1">
      <c r="N108" s="17" t="s">
        <v>3</v>
      </c>
      <c r="O108" s="17" t="s">
        <v>6</v>
      </c>
      <c r="P108" s="17" t="s">
        <v>1</v>
      </c>
      <c r="Q108" s="17">
        <v>26</v>
      </c>
    </row>
    <row r="109" spans="14:17" ht="15" thickBot="1">
      <c r="N109" s="17" t="s">
        <v>3</v>
      </c>
      <c r="O109" s="17" t="s">
        <v>6</v>
      </c>
      <c r="P109" s="17" t="s">
        <v>7</v>
      </c>
      <c r="Q109" s="17">
        <v>9</v>
      </c>
    </row>
    <row r="110" spans="14:17" ht="15" thickBot="1">
      <c r="N110" s="17" t="s">
        <v>3</v>
      </c>
      <c r="O110" s="17" t="s">
        <v>6</v>
      </c>
      <c r="P110" s="17" t="s">
        <v>8</v>
      </c>
      <c r="Q110" s="17">
        <v>1</v>
      </c>
    </row>
    <row r="111" spans="14:17" ht="15" thickBot="1">
      <c r="N111" s="17" t="s">
        <v>3</v>
      </c>
      <c r="O111" s="17" t="s">
        <v>6</v>
      </c>
      <c r="P111" s="17" t="s">
        <v>55</v>
      </c>
      <c r="Q111" s="17">
        <v>16</v>
      </c>
    </row>
    <row r="112" spans="14:17" ht="15" thickBot="1">
      <c r="N112" s="17" t="s">
        <v>3</v>
      </c>
      <c r="O112" s="17" t="s">
        <v>6</v>
      </c>
      <c r="P112" s="17" t="s">
        <v>56</v>
      </c>
      <c r="Q112" s="17">
        <v>12</v>
      </c>
    </row>
    <row r="113" spans="14:17" ht="15" thickBot="1">
      <c r="N113" s="17" t="s">
        <v>20</v>
      </c>
      <c r="O113" s="17" t="s">
        <v>30</v>
      </c>
      <c r="P113" s="17" t="s">
        <v>1</v>
      </c>
      <c r="Q113" s="17">
        <v>201</v>
      </c>
    </row>
    <row r="114" spans="14:17" ht="15" thickBot="1">
      <c r="N114" s="17" t="s">
        <v>20</v>
      </c>
      <c r="O114" s="17" t="s">
        <v>30</v>
      </c>
      <c r="P114" s="17" t="s">
        <v>7</v>
      </c>
      <c r="Q114" s="17">
        <v>138</v>
      </c>
    </row>
    <row r="115" spans="14:17" ht="15" thickBot="1">
      <c r="N115" s="17" t="s">
        <v>20</v>
      </c>
      <c r="O115" s="17" t="s">
        <v>30</v>
      </c>
      <c r="P115" s="17" t="s">
        <v>8</v>
      </c>
      <c r="Q115" s="17">
        <v>13</v>
      </c>
    </row>
    <row r="116" spans="14:17" ht="15" thickBot="1">
      <c r="N116" s="17" t="s">
        <v>20</v>
      </c>
      <c r="O116" s="17" t="s">
        <v>30</v>
      </c>
      <c r="P116" s="17" t="s">
        <v>55</v>
      </c>
      <c r="Q116" s="17">
        <v>41</v>
      </c>
    </row>
    <row r="117" spans="14:17" ht="15" thickBot="1">
      <c r="N117" s="17" t="s">
        <v>20</v>
      </c>
      <c r="O117" s="17" t="s">
        <v>30</v>
      </c>
      <c r="P117" s="17" t="s">
        <v>56</v>
      </c>
      <c r="Q117" s="17">
        <v>60</v>
      </c>
    </row>
    <row r="118" spans="14:17" ht="15" thickBot="1">
      <c r="N118" s="17" t="s">
        <v>20</v>
      </c>
      <c r="O118" s="17" t="s">
        <v>6</v>
      </c>
      <c r="P118" s="17" t="s">
        <v>1</v>
      </c>
      <c r="Q118" s="17">
        <v>33</v>
      </c>
    </row>
    <row r="119" spans="14:17" ht="15" thickBot="1">
      <c r="N119" s="17" t="s">
        <v>20</v>
      </c>
      <c r="O119" s="17" t="s">
        <v>6</v>
      </c>
      <c r="P119" s="17" t="s">
        <v>7</v>
      </c>
      <c r="Q119" s="17">
        <v>16</v>
      </c>
    </row>
    <row r="120" spans="14:17" ht="15" thickBot="1">
      <c r="N120" s="17" t="s">
        <v>20</v>
      </c>
      <c r="O120" s="17" t="s">
        <v>6</v>
      </c>
      <c r="P120" s="17" t="s">
        <v>8</v>
      </c>
      <c r="Q120" s="17">
        <v>1</v>
      </c>
    </row>
    <row r="121" spans="14:17" ht="15" thickBot="1">
      <c r="N121" s="17" t="s">
        <v>20</v>
      </c>
      <c r="O121" s="17" t="s">
        <v>6</v>
      </c>
      <c r="P121" s="17" t="s">
        <v>55</v>
      </c>
      <c r="Q121" s="17">
        <v>10</v>
      </c>
    </row>
    <row r="122" spans="14:17" ht="15" thickBot="1">
      <c r="N122" s="17" t="s">
        <v>20</v>
      </c>
      <c r="O122" s="17" t="s">
        <v>6</v>
      </c>
      <c r="P122" s="17" t="s">
        <v>56</v>
      </c>
      <c r="Q122" s="17">
        <v>10</v>
      </c>
    </row>
    <row r="123" spans="14:17" ht="15" thickBot="1">
      <c r="N123" s="17" t="s">
        <v>21</v>
      </c>
      <c r="O123" s="17" t="s">
        <v>30</v>
      </c>
      <c r="P123" s="17" t="s">
        <v>1</v>
      </c>
      <c r="Q123" s="17">
        <v>195</v>
      </c>
    </row>
    <row r="124" spans="14:17" ht="15" thickBot="1">
      <c r="N124" s="17" t="s">
        <v>21</v>
      </c>
      <c r="O124" s="17" t="s">
        <v>30</v>
      </c>
      <c r="P124" s="17" t="s">
        <v>7</v>
      </c>
      <c r="Q124" s="17">
        <v>124</v>
      </c>
    </row>
    <row r="125" spans="14:17" ht="15" thickBot="1">
      <c r="N125" s="17" t="s">
        <v>21</v>
      </c>
      <c r="O125" s="17" t="s">
        <v>30</v>
      </c>
      <c r="P125" s="17" t="s">
        <v>8</v>
      </c>
      <c r="Q125" s="17">
        <v>7</v>
      </c>
    </row>
    <row r="126" spans="14:17" ht="15" thickBot="1">
      <c r="N126" s="17" t="s">
        <v>21</v>
      </c>
      <c r="O126" s="17" t="s">
        <v>30</v>
      </c>
      <c r="P126" s="17" t="s">
        <v>55</v>
      </c>
      <c r="Q126" s="17">
        <v>43</v>
      </c>
    </row>
    <row r="127" spans="14:17" ht="15" thickBot="1">
      <c r="N127" s="17" t="s">
        <v>21</v>
      </c>
      <c r="O127" s="17" t="s">
        <v>30</v>
      </c>
      <c r="P127" s="17" t="s">
        <v>56</v>
      </c>
      <c r="Q127" s="17">
        <v>56</v>
      </c>
    </row>
    <row r="128" spans="14:17" ht="15" thickBot="1">
      <c r="N128" s="17" t="s">
        <v>21</v>
      </c>
      <c r="O128" s="17" t="s">
        <v>6</v>
      </c>
      <c r="P128" s="17" t="s">
        <v>1</v>
      </c>
      <c r="Q128" s="17">
        <v>35</v>
      </c>
    </row>
    <row r="129" spans="14:17" ht="15" thickBot="1">
      <c r="N129" s="17" t="s">
        <v>21</v>
      </c>
      <c r="O129" s="17" t="s">
        <v>6</v>
      </c>
      <c r="P129" s="17" t="s">
        <v>7</v>
      </c>
      <c r="Q129" s="17">
        <v>19</v>
      </c>
    </row>
    <row r="130" spans="14:17" ht="15" thickBot="1">
      <c r="N130" s="17" t="s">
        <v>21</v>
      </c>
      <c r="O130" s="17" t="s">
        <v>6</v>
      </c>
      <c r="P130" s="17" t="s">
        <v>8</v>
      </c>
      <c r="Q130" s="17">
        <v>1</v>
      </c>
    </row>
    <row r="131" spans="14:17" ht="15" thickBot="1">
      <c r="N131" s="17" t="s">
        <v>21</v>
      </c>
      <c r="O131" s="17" t="s">
        <v>6</v>
      </c>
      <c r="P131" s="17" t="s">
        <v>55</v>
      </c>
      <c r="Q131" s="17">
        <v>10</v>
      </c>
    </row>
    <row r="132" spans="14:17" ht="15" thickBot="1">
      <c r="N132" s="17" t="s">
        <v>21</v>
      </c>
      <c r="O132" s="17" t="s">
        <v>6</v>
      </c>
      <c r="P132" s="17" t="s">
        <v>56</v>
      </c>
      <c r="Q132" s="17">
        <v>8</v>
      </c>
    </row>
  </sheetData>
  <mergeCells count="3">
    <mergeCell ref="A2:A3"/>
    <mergeCell ref="B2:F2"/>
    <mergeCell ref="G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BEDAB-79E9-4958-A2D0-A670C7DD8300}">
  <dimension ref="C1:AQ40"/>
  <sheetViews>
    <sheetView workbookViewId="0">
      <selection activeCell="S13" sqref="S13"/>
    </sheetView>
  </sheetViews>
  <sheetFormatPr defaultRowHeight="14.4"/>
  <cols>
    <col min="3" max="4" width="12.5546875" bestFit="1" customWidth="1"/>
    <col min="12" max="12" width="14" bestFit="1" customWidth="1"/>
    <col min="13" max="13" width="12.5546875" bestFit="1" customWidth="1"/>
    <col min="25" max="25" width="12.5546875" bestFit="1" customWidth="1"/>
    <col min="26" max="26" width="15.5546875" bestFit="1" customWidth="1"/>
    <col min="27" max="27" width="8.21875" bestFit="1" customWidth="1"/>
    <col min="28" max="29" width="10.77734375" bestFit="1" customWidth="1"/>
    <col min="30" max="36" width="10.77734375" customWidth="1"/>
    <col min="38" max="38" width="12.5546875" bestFit="1" customWidth="1"/>
    <col min="39" max="39" width="15.5546875" bestFit="1" customWidth="1"/>
    <col min="40" max="40" width="9.6640625" bestFit="1" customWidth="1"/>
    <col min="41" max="41" width="10.33203125" bestFit="1" customWidth="1"/>
    <col min="42" max="42" width="8.109375" bestFit="1" customWidth="1"/>
    <col min="43" max="43" width="10.77734375" bestFit="1" customWidth="1"/>
  </cols>
  <sheetData>
    <row r="1" spans="3:41">
      <c r="L1" s="9" t="s">
        <v>53</v>
      </c>
      <c r="M1" t="s">
        <v>55</v>
      </c>
    </row>
    <row r="3" spans="3:41">
      <c r="L3" s="9" t="s">
        <v>23</v>
      </c>
      <c r="M3" t="s">
        <v>58</v>
      </c>
      <c r="Y3" s="9" t="s">
        <v>58</v>
      </c>
      <c r="Z3" s="9" t="s">
        <v>59</v>
      </c>
      <c r="AL3" s="9" t="s">
        <v>58</v>
      </c>
      <c r="AM3" s="9" t="s">
        <v>59</v>
      </c>
    </row>
    <row r="4" spans="3:41">
      <c r="C4" s="9" t="s">
        <v>23</v>
      </c>
      <c r="D4" t="s">
        <v>58</v>
      </c>
      <c r="L4" s="10" t="s">
        <v>13</v>
      </c>
      <c r="M4">
        <v>96</v>
      </c>
      <c r="Y4" s="9" t="s">
        <v>23</v>
      </c>
      <c r="Z4" t="s">
        <v>1</v>
      </c>
      <c r="AA4" t="s">
        <v>7</v>
      </c>
      <c r="AB4" t="s">
        <v>24</v>
      </c>
      <c r="AL4" s="9" t="s">
        <v>23</v>
      </c>
      <c r="AM4" t="s">
        <v>1</v>
      </c>
      <c r="AN4" t="s">
        <v>56</v>
      </c>
      <c r="AO4" t="s">
        <v>24</v>
      </c>
    </row>
    <row r="5" spans="3:41">
      <c r="C5" s="10" t="s">
        <v>14</v>
      </c>
      <c r="D5">
        <v>629</v>
      </c>
      <c r="L5" s="10" t="s">
        <v>14</v>
      </c>
      <c r="M5">
        <v>79</v>
      </c>
      <c r="Y5" s="10" t="s">
        <v>14</v>
      </c>
      <c r="Z5">
        <v>272</v>
      </c>
      <c r="AA5">
        <v>153</v>
      </c>
      <c r="AB5">
        <v>425</v>
      </c>
      <c r="AL5" s="10" t="s">
        <v>14</v>
      </c>
      <c r="AM5">
        <v>272</v>
      </c>
      <c r="AN5">
        <v>106</v>
      </c>
      <c r="AO5">
        <v>378</v>
      </c>
    </row>
    <row r="6" spans="3:41">
      <c r="C6" s="10" t="s">
        <v>15</v>
      </c>
      <c r="D6">
        <v>562</v>
      </c>
      <c r="L6" s="10" t="s">
        <v>2</v>
      </c>
      <c r="M6">
        <v>76</v>
      </c>
      <c r="Y6" s="10" t="s">
        <v>15</v>
      </c>
      <c r="Z6">
        <v>231</v>
      </c>
      <c r="AA6">
        <v>153</v>
      </c>
      <c r="AB6">
        <v>384</v>
      </c>
      <c r="AL6" s="10" t="s">
        <v>15</v>
      </c>
      <c r="AM6">
        <v>231</v>
      </c>
      <c r="AN6">
        <v>100</v>
      </c>
      <c r="AO6">
        <v>331</v>
      </c>
    </row>
    <row r="7" spans="3:41">
      <c r="C7" s="10" t="s">
        <v>16</v>
      </c>
      <c r="D7">
        <v>510</v>
      </c>
      <c r="L7" s="10" t="s">
        <v>12</v>
      </c>
      <c r="M7">
        <v>76</v>
      </c>
      <c r="Y7" s="10" t="s">
        <v>16</v>
      </c>
      <c r="Z7">
        <v>197</v>
      </c>
      <c r="AA7">
        <v>156</v>
      </c>
      <c r="AB7">
        <v>353</v>
      </c>
      <c r="AL7" s="10" t="s">
        <v>16</v>
      </c>
      <c r="AM7">
        <v>197</v>
      </c>
      <c r="AN7">
        <v>95</v>
      </c>
      <c r="AO7">
        <v>292</v>
      </c>
    </row>
    <row r="8" spans="3:41">
      <c r="C8" s="10" t="s">
        <v>17</v>
      </c>
      <c r="D8">
        <v>469</v>
      </c>
      <c r="L8" s="10" t="s">
        <v>11</v>
      </c>
      <c r="M8">
        <v>75</v>
      </c>
      <c r="Y8" s="10" t="s">
        <v>17</v>
      </c>
      <c r="Z8">
        <v>209</v>
      </c>
      <c r="AA8">
        <v>112</v>
      </c>
      <c r="AB8">
        <v>321</v>
      </c>
      <c r="AL8" s="10" t="s">
        <v>17</v>
      </c>
      <c r="AM8">
        <v>209</v>
      </c>
      <c r="AN8">
        <v>67</v>
      </c>
      <c r="AO8">
        <v>276</v>
      </c>
    </row>
    <row r="9" spans="3:41">
      <c r="C9" s="10" t="s">
        <v>18</v>
      </c>
      <c r="D9">
        <v>469</v>
      </c>
      <c r="L9" s="10" t="s">
        <v>15</v>
      </c>
      <c r="M9">
        <v>68</v>
      </c>
      <c r="Y9" s="10" t="s">
        <v>18</v>
      </c>
      <c r="Z9">
        <v>210</v>
      </c>
      <c r="AA9">
        <v>132</v>
      </c>
      <c r="AB9">
        <v>342</v>
      </c>
      <c r="AL9" s="10" t="s">
        <v>18</v>
      </c>
      <c r="AM9">
        <v>210</v>
      </c>
      <c r="AN9">
        <v>61</v>
      </c>
      <c r="AO9">
        <v>271</v>
      </c>
    </row>
    <row r="10" spans="3:41">
      <c r="C10" s="10" t="s">
        <v>19</v>
      </c>
      <c r="D10">
        <v>478</v>
      </c>
      <c r="L10" s="10" t="s">
        <v>3</v>
      </c>
      <c r="M10">
        <v>64</v>
      </c>
      <c r="Y10" s="10" t="s">
        <v>19</v>
      </c>
      <c r="Z10">
        <v>212</v>
      </c>
      <c r="AA10">
        <v>140</v>
      </c>
      <c r="AB10">
        <v>352</v>
      </c>
      <c r="AL10" s="10" t="s">
        <v>19</v>
      </c>
      <c r="AM10">
        <v>212</v>
      </c>
      <c r="AN10">
        <v>52</v>
      </c>
      <c r="AO10">
        <v>264</v>
      </c>
    </row>
    <row r="11" spans="3:41">
      <c r="C11" s="10" t="s">
        <v>20</v>
      </c>
      <c r="D11">
        <v>523</v>
      </c>
      <c r="L11" s="10" t="s">
        <v>19</v>
      </c>
      <c r="M11">
        <v>63</v>
      </c>
      <c r="Y11" s="10" t="s">
        <v>3</v>
      </c>
      <c r="Z11">
        <v>230</v>
      </c>
      <c r="AA11">
        <v>142</v>
      </c>
      <c r="AB11">
        <v>372</v>
      </c>
      <c r="AL11" s="10" t="s">
        <v>3</v>
      </c>
      <c r="AM11">
        <v>230</v>
      </c>
      <c r="AN11">
        <v>63</v>
      </c>
      <c r="AO11">
        <v>293</v>
      </c>
    </row>
    <row r="12" spans="3:41">
      <c r="C12" s="10" t="s">
        <v>21</v>
      </c>
      <c r="D12">
        <v>498</v>
      </c>
      <c r="L12" s="10" t="s">
        <v>17</v>
      </c>
      <c r="M12">
        <v>57</v>
      </c>
      <c r="Y12" s="10" t="s">
        <v>2</v>
      </c>
      <c r="Z12">
        <v>279</v>
      </c>
      <c r="AA12">
        <v>171</v>
      </c>
      <c r="AB12">
        <v>450</v>
      </c>
      <c r="AL12" s="10" t="s">
        <v>2</v>
      </c>
      <c r="AM12">
        <v>279</v>
      </c>
      <c r="AN12">
        <v>81</v>
      </c>
      <c r="AO12">
        <v>360</v>
      </c>
    </row>
    <row r="13" spans="3:41">
      <c r="C13" s="10" t="s">
        <v>3</v>
      </c>
      <c r="D13">
        <v>508</v>
      </c>
      <c r="L13" s="10" t="s">
        <v>21</v>
      </c>
      <c r="M13">
        <v>53</v>
      </c>
      <c r="Y13" s="10" t="s">
        <v>11</v>
      </c>
      <c r="Z13">
        <v>254</v>
      </c>
      <c r="AA13">
        <v>158</v>
      </c>
      <c r="AB13">
        <v>412</v>
      </c>
      <c r="AL13" s="10" t="s">
        <v>11</v>
      </c>
      <c r="AM13">
        <v>254</v>
      </c>
      <c r="AN13">
        <v>111</v>
      </c>
      <c r="AO13">
        <v>365</v>
      </c>
    </row>
    <row r="14" spans="3:41">
      <c r="C14" s="10" t="s">
        <v>2</v>
      </c>
      <c r="D14">
        <v>625</v>
      </c>
      <c r="L14" s="10" t="s">
        <v>18</v>
      </c>
      <c r="M14">
        <v>52</v>
      </c>
      <c r="Y14" s="10" t="s">
        <v>12</v>
      </c>
      <c r="Z14">
        <v>266</v>
      </c>
      <c r="AA14">
        <v>184</v>
      </c>
      <c r="AB14">
        <v>450</v>
      </c>
      <c r="AL14" s="10" t="s">
        <v>12</v>
      </c>
      <c r="AM14">
        <v>266</v>
      </c>
      <c r="AN14">
        <v>87</v>
      </c>
      <c r="AO14">
        <v>353</v>
      </c>
    </row>
    <row r="15" spans="3:41">
      <c r="C15" s="10" t="s">
        <v>11</v>
      </c>
      <c r="D15">
        <v>615</v>
      </c>
      <c r="L15" s="10" t="s">
        <v>20</v>
      </c>
      <c r="M15">
        <v>51</v>
      </c>
      <c r="Y15" s="10" t="s">
        <v>13</v>
      </c>
      <c r="Z15">
        <v>284</v>
      </c>
      <c r="AA15">
        <v>169</v>
      </c>
      <c r="AB15">
        <v>453</v>
      </c>
      <c r="AL15" s="10" t="s">
        <v>13</v>
      </c>
      <c r="AM15">
        <v>284</v>
      </c>
      <c r="AN15">
        <v>91</v>
      </c>
      <c r="AO15">
        <v>375</v>
      </c>
    </row>
    <row r="16" spans="3:41">
      <c r="C16" s="10" t="s">
        <v>12</v>
      </c>
      <c r="D16">
        <v>643</v>
      </c>
      <c r="L16" s="10" t="s">
        <v>16</v>
      </c>
      <c r="M16">
        <v>41</v>
      </c>
      <c r="Y16" s="10" t="s">
        <v>20</v>
      </c>
      <c r="Z16">
        <v>234</v>
      </c>
      <c r="AA16">
        <v>154</v>
      </c>
      <c r="AB16">
        <v>388</v>
      </c>
      <c r="AL16" s="10" t="s">
        <v>20</v>
      </c>
      <c r="AM16">
        <v>234</v>
      </c>
      <c r="AN16">
        <v>70</v>
      </c>
      <c r="AO16">
        <v>304</v>
      </c>
    </row>
    <row r="17" spans="3:43">
      <c r="C17" s="10" t="s">
        <v>13</v>
      </c>
      <c r="D17">
        <v>669</v>
      </c>
      <c r="L17" s="10" t="s">
        <v>24</v>
      </c>
      <c r="M17">
        <v>851</v>
      </c>
      <c r="Y17" s="10" t="s">
        <v>21</v>
      </c>
      <c r="Z17">
        <v>230</v>
      </c>
      <c r="AA17">
        <v>143</v>
      </c>
      <c r="AB17">
        <v>373</v>
      </c>
      <c r="AL17" s="10" t="s">
        <v>21</v>
      </c>
      <c r="AM17">
        <v>230</v>
      </c>
      <c r="AN17">
        <v>64</v>
      </c>
      <c r="AO17">
        <v>294</v>
      </c>
    </row>
    <row r="18" spans="3:43">
      <c r="C18" s="10" t="s">
        <v>24</v>
      </c>
      <c r="D18">
        <v>7198</v>
      </c>
      <c r="Y18" s="10" t="s">
        <v>24</v>
      </c>
      <c r="Z18">
        <v>3108</v>
      </c>
      <c r="AA18">
        <v>1967</v>
      </c>
      <c r="AB18">
        <v>5075</v>
      </c>
      <c r="AL18" s="10" t="s">
        <v>24</v>
      </c>
      <c r="AM18">
        <v>3108</v>
      </c>
      <c r="AN18">
        <v>1048</v>
      </c>
      <c r="AO18">
        <v>4156</v>
      </c>
    </row>
    <row r="19" spans="3:43">
      <c r="AA19" s="16">
        <f>GETPIVOTDATA("Count",$Y$3,"Patient Status","Renewal")/GETPIVOTDATA("Count",$Y$3,"Patient Status","Active")</f>
        <v>0.63288288288288286</v>
      </c>
    </row>
    <row r="20" spans="3:43">
      <c r="Y20" s="9" t="s">
        <v>53</v>
      </c>
      <c r="Z20" t="s">
        <v>1</v>
      </c>
    </row>
    <row r="22" spans="3:43">
      <c r="Y22" s="9" t="s">
        <v>58</v>
      </c>
      <c r="Z22" s="9" t="s">
        <v>59</v>
      </c>
    </row>
    <row r="23" spans="3:43">
      <c r="Y23" s="9" t="s">
        <v>23</v>
      </c>
      <c r="Z23" t="s">
        <v>6</v>
      </c>
      <c r="AA23" t="s">
        <v>30</v>
      </c>
      <c r="AB23" t="s">
        <v>24</v>
      </c>
      <c r="AL23" s="9" t="s">
        <v>58</v>
      </c>
      <c r="AM23" s="9" t="s">
        <v>59</v>
      </c>
    </row>
    <row r="24" spans="3:43">
      <c r="Y24" s="10" t="s">
        <v>20</v>
      </c>
      <c r="Z24">
        <v>33</v>
      </c>
      <c r="AA24">
        <v>201</v>
      </c>
      <c r="AB24">
        <v>234</v>
      </c>
      <c r="AL24" s="9" t="s">
        <v>23</v>
      </c>
      <c r="AM24" t="s">
        <v>1</v>
      </c>
      <c r="AN24" t="s">
        <v>55</v>
      </c>
      <c r="AO24" t="s">
        <v>8</v>
      </c>
      <c r="AP24" t="s">
        <v>7</v>
      </c>
      <c r="AQ24" t="s">
        <v>24</v>
      </c>
    </row>
    <row r="25" spans="3:43">
      <c r="Y25" s="10" t="s">
        <v>21</v>
      </c>
      <c r="Z25">
        <v>35</v>
      </c>
      <c r="AA25">
        <v>195</v>
      </c>
      <c r="AB25">
        <v>230</v>
      </c>
      <c r="AL25" s="10" t="s">
        <v>14</v>
      </c>
      <c r="AM25">
        <v>272</v>
      </c>
      <c r="AN25">
        <v>79</v>
      </c>
      <c r="AO25">
        <v>19</v>
      </c>
      <c r="AP25">
        <v>153</v>
      </c>
      <c r="AQ25">
        <v>523</v>
      </c>
    </row>
    <row r="26" spans="3:43">
      <c r="Y26" s="10" t="s">
        <v>14</v>
      </c>
      <c r="Z26">
        <v>28</v>
      </c>
      <c r="AA26">
        <v>244</v>
      </c>
      <c r="AB26">
        <v>272</v>
      </c>
      <c r="AL26" s="10" t="s">
        <v>15</v>
      </c>
      <c r="AM26">
        <v>231</v>
      </c>
      <c r="AN26">
        <v>68</v>
      </c>
      <c r="AO26">
        <v>10</v>
      </c>
      <c r="AP26">
        <v>153</v>
      </c>
      <c r="AQ26">
        <v>462</v>
      </c>
    </row>
    <row r="27" spans="3:43">
      <c r="Y27" s="10" t="s">
        <v>15</v>
      </c>
      <c r="Z27">
        <v>25</v>
      </c>
      <c r="AA27">
        <v>206</v>
      </c>
      <c r="AB27">
        <v>231</v>
      </c>
      <c r="AL27" s="10" t="s">
        <v>16</v>
      </c>
      <c r="AM27">
        <v>197</v>
      </c>
      <c r="AN27">
        <v>41</v>
      </c>
      <c r="AO27">
        <v>21</v>
      </c>
      <c r="AP27">
        <v>156</v>
      </c>
      <c r="AQ27">
        <v>415</v>
      </c>
    </row>
    <row r="28" spans="3:43">
      <c r="Y28" s="10" t="s">
        <v>16</v>
      </c>
      <c r="Z28">
        <v>19</v>
      </c>
      <c r="AA28">
        <v>178</v>
      </c>
      <c r="AB28">
        <v>197</v>
      </c>
      <c r="AL28" s="10" t="s">
        <v>17</v>
      </c>
      <c r="AM28">
        <v>209</v>
      </c>
      <c r="AN28">
        <v>57</v>
      </c>
      <c r="AO28">
        <v>24</v>
      </c>
      <c r="AP28">
        <v>112</v>
      </c>
      <c r="AQ28">
        <v>402</v>
      </c>
    </row>
    <row r="29" spans="3:43">
      <c r="Y29" s="10" t="s">
        <v>17</v>
      </c>
      <c r="Z29">
        <v>18</v>
      </c>
      <c r="AA29">
        <v>191</v>
      </c>
      <c r="AB29">
        <v>209</v>
      </c>
      <c r="AL29" s="10" t="s">
        <v>18</v>
      </c>
      <c r="AM29">
        <v>210</v>
      </c>
      <c r="AN29">
        <v>52</v>
      </c>
      <c r="AO29">
        <v>14</v>
      </c>
      <c r="AP29">
        <v>132</v>
      </c>
      <c r="AQ29">
        <v>408</v>
      </c>
    </row>
    <row r="30" spans="3:43">
      <c r="Y30" s="10" t="s">
        <v>18</v>
      </c>
      <c r="Z30">
        <v>20</v>
      </c>
      <c r="AA30">
        <v>190</v>
      </c>
      <c r="AB30">
        <v>210</v>
      </c>
      <c r="AL30" s="10" t="s">
        <v>19</v>
      </c>
      <c r="AM30">
        <v>212</v>
      </c>
      <c r="AN30">
        <v>63</v>
      </c>
      <c r="AO30">
        <v>11</v>
      </c>
      <c r="AP30">
        <v>140</v>
      </c>
      <c r="AQ30">
        <v>426</v>
      </c>
    </row>
    <row r="31" spans="3:43">
      <c r="Y31" s="10" t="s">
        <v>19</v>
      </c>
      <c r="Z31">
        <v>24</v>
      </c>
      <c r="AA31">
        <v>188</v>
      </c>
      <c r="AB31">
        <v>212</v>
      </c>
      <c r="AL31" s="10" t="s">
        <v>20</v>
      </c>
      <c r="AM31">
        <v>234</v>
      </c>
      <c r="AN31">
        <v>51</v>
      </c>
      <c r="AO31">
        <v>14</v>
      </c>
      <c r="AP31">
        <v>154</v>
      </c>
      <c r="AQ31">
        <v>453</v>
      </c>
    </row>
    <row r="32" spans="3:43">
      <c r="Y32" s="10" t="s">
        <v>3</v>
      </c>
      <c r="Z32">
        <v>26</v>
      </c>
      <c r="AA32">
        <v>204</v>
      </c>
      <c r="AB32">
        <v>230</v>
      </c>
      <c r="AL32" s="10" t="s">
        <v>21</v>
      </c>
      <c r="AM32">
        <v>230</v>
      </c>
      <c r="AN32">
        <v>53</v>
      </c>
      <c r="AO32">
        <v>8</v>
      </c>
      <c r="AP32">
        <v>143</v>
      </c>
      <c r="AQ32">
        <v>434</v>
      </c>
    </row>
    <row r="33" spans="25:43">
      <c r="Y33" s="10" t="s">
        <v>2</v>
      </c>
      <c r="Z33">
        <v>4</v>
      </c>
      <c r="AA33">
        <v>275</v>
      </c>
      <c r="AB33">
        <v>279</v>
      </c>
      <c r="AL33" s="10" t="s">
        <v>3</v>
      </c>
      <c r="AM33">
        <v>230</v>
      </c>
      <c r="AN33">
        <v>64</v>
      </c>
      <c r="AO33">
        <v>9</v>
      </c>
      <c r="AP33">
        <v>142</v>
      </c>
      <c r="AQ33">
        <v>445</v>
      </c>
    </row>
    <row r="34" spans="25:43">
      <c r="Y34" s="10" t="s">
        <v>11</v>
      </c>
      <c r="Z34">
        <v>9</v>
      </c>
      <c r="AA34">
        <v>245</v>
      </c>
      <c r="AB34">
        <v>254</v>
      </c>
      <c r="AL34" s="10" t="s">
        <v>2</v>
      </c>
      <c r="AM34">
        <v>279</v>
      </c>
      <c r="AN34">
        <v>76</v>
      </c>
      <c r="AO34">
        <v>18</v>
      </c>
      <c r="AP34">
        <v>171</v>
      </c>
      <c r="AQ34">
        <v>544</v>
      </c>
    </row>
    <row r="35" spans="25:43">
      <c r="Y35" s="10" t="s">
        <v>12</v>
      </c>
      <c r="Z35">
        <v>16</v>
      </c>
      <c r="AA35">
        <v>250</v>
      </c>
      <c r="AB35">
        <v>266</v>
      </c>
      <c r="AL35" s="10" t="s">
        <v>11</v>
      </c>
      <c r="AM35">
        <v>254</v>
      </c>
      <c r="AN35">
        <v>75</v>
      </c>
      <c r="AO35">
        <v>17</v>
      </c>
      <c r="AP35">
        <v>158</v>
      </c>
      <c r="AQ35">
        <v>504</v>
      </c>
    </row>
    <row r="36" spans="25:43">
      <c r="Y36" s="10" t="s">
        <v>13</v>
      </c>
      <c r="Z36">
        <v>24</v>
      </c>
      <c r="AA36">
        <v>260</v>
      </c>
      <c r="AB36">
        <v>284</v>
      </c>
      <c r="AL36" s="10" t="s">
        <v>12</v>
      </c>
      <c r="AM36">
        <v>266</v>
      </c>
      <c r="AN36">
        <v>76</v>
      </c>
      <c r="AO36">
        <v>30</v>
      </c>
      <c r="AP36">
        <v>184</v>
      </c>
      <c r="AQ36">
        <v>556</v>
      </c>
    </row>
    <row r="37" spans="25:43">
      <c r="Y37" s="10" t="s">
        <v>24</v>
      </c>
      <c r="Z37">
        <v>281</v>
      </c>
      <c r="AA37">
        <v>2827</v>
      </c>
      <c r="AB37">
        <v>3108</v>
      </c>
      <c r="AL37" s="10" t="s">
        <v>13</v>
      </c>
      <c r="AM37">
        <v>284</v>
      </c>
      <c r="AN37">
        <v>96</v>
      </c>
      <c r="AO37">
        <v>29</v>
      </c>
      <c r="AP37">
        <v>169</v>
      </c>
      <c r="AQ37">
        <v>578</v>
      </c>
    </row>
    <row r="38" spans="25:43">
      <c r="AL38" s="10" t="s">
        <v>24</v>
      </c>
      <c r="AM38">
        <v>3108</v>
      </c>
      <c r="AN38">
        <v>851</v>
      </c>
      <c r="AO38">
        <v>224</v>
      </c>
      <c r="AP38">
        <v>1967</v>
      </c>
      <c r="AQ38">
        <v>6150</v>
      </c>
    </row>
    <row r="39" spans="25:43">
      <c r="Z39" s="16">
        <f>GETPIVOTDATA("Count",$Y$22,"Location","Gurgaon")/GETPIVOTDATA("Count",$Y$22)</f>
        <v>0.90958815958815964</v>
      </c>
      <c r="AB39" s="18"/>
    </row>
    <row r="40" spans="25:43">
      <c r="AM40" s="18">
        <f>GETPIVOTDATA("Count",$AL$23,"Patient Status","Renewal")/GETPIVOTDATA("Count",$AL$23,"Patient Status","Active")</f>
        <v>0.63288288288288286</v>
      </c>
    </row>
  </sheetData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1</vt:lpstr>
      <vt:lpstr>DB1</vt:lpstr>
      <vt:lpstr>Data 2</vt:lpstr>
      <vt:lpstr>DB2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</dc:creator>
  <cp:lastModifiedBy>sarah</cp:lastModifiedBy>
  <dcterms:created xsi:type="dcterms:W3CDTF">2017-03-01T09:45:00Z</dcterms:created>
  <dcterms:modified xsi:type="dcterms:W3CDTF">2026-05-18T07:24:55Z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2057-11.2.0.9070</vt:lpwstr>
  </property>
</Properties>
</file>